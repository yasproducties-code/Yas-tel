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D#1" sheetId="1" state="visible" r:id="rId1"/>
    <sheet name="DD#2" sheetId="2" state="visible" r:id="rId2"/>
    <sheet name="DD#3" sheetId="3" state="visible" r:id="rId3"/>
  </sheets>
  <definedNames/>
  <calcPr calcId="124519" fullCalcOnLoad="1"/>
</workbook>
</file>

<file path=xl/styles.xml><?xml version="1.0" encoding="utf-8"?>
<styleSheet xmlns="http://schemas.openxmlformats.org/spreadsheetml/2006/main">
  <numFmts count="1">
    <numFmt numFmtId="164" formatCode="hh:mm"/>
  </numFmts>
  <fonts count="25">
    <font>
      <name val="Calibri"/>
      <color theme="1"/>
      <sz val="11"/>
      <scheme val="minor"/>
    </font>
    <font>
      <name val="Calibri"/>
      <color theme="1"/>
      <scheme val="minor"/>
    </font>
    <font>
      <name val="Montserrat"/>
      <b val="1"/>
      <color rgb="FFFFFFFF"/>
      <sz val="21"/>
    </font>
    <font/>
    <font>
      <name val="Montserrat"/>
      <b val="1"/>
      <color rgb="FFBFD0E0"/>
      <sz val="12"/>
    </font>
    <font>
      <name val="Montserrat"/>
      <b val="1"/>
      <color rgb="FF660000"/>
      <sz val="8"/>
    </font>
    <font>
      <name val="Montserrat"/>
      <b val="1"/>
      <color rgb="FF1C2B3A"/>
      <sz val="12"/>
    </font>
    <font>
      <name val="Calibri"/>
      <color theme="1"/>
      <sz val="11"/>
    </font>
    <font>
      <name val="Montserrat"/>
      <b val="1"/>
      <color rgb="FF660000"/>
      <sz val="7"/>
    </font>
    <font>
      <name val="Montserrat"/>
      <b val="1"/>
      <color rgb="FFFFFFFF"/>
      <sz val="9"/>
    </font>
    <font>
      <name val="Montserrat"/>
      <b val="1"/>
      <color rgb="FF1C2B3A"/>
      <sz val="10"/>
    </font>
    <font>
      <name val="Montserrat"/>
      <color rgb="FF1C2B3A"/>
      <sz val="10"/>
    </font>
    <font>
      <name val="Montserrat"/>
      <b val="1"/>
      <color rgb="FF14385C"/>
      <sz val="10"/>
    </font>
    <font>
      <name val="Montserrat"/>
      <b val="1"/>
      <color rgb="FF14385C"/>
      <sz val="9"/>
    </font>
    <font>
      <name val="Montserrat"/>
      <b val="1"/>
      <color rgb="FFFFFFFF"/>
      <sz val="10"/>
    </font>
    <font>
      <name val="Montserrat"/>
      <color rgb="FF1C2B3A"/>
      <sz val="9"/>
    </font>
    <font>
      <name val="Montserrat"/>
      <b val="1"/>
      <color rgb="FF1C2B3A"/>
      <sz val="9"/>
    </font>
    <font>
      <name val="Montserrat"/>
      <color rgb="FF14385C"/>
      <sz val="9"/>
    </font>
    <font>
      <name val="Montserrat"/>
      <color rgb="FF000000"/>
      <sz val="9"/>
    </font>
    <font>
      <name val="Montserrat"/>
      <b val="1"/>
      <color rgb="FF000000"/>
      <sz val="9"/>
    </font>
    <font>
      <name val="Montserrat"/>
      <b val="1"/>
      <color rgb="FF000000"/>
      <sz val="10"/>
    </font>
    <font>
      <name val="Montserrat"/>
      <color rgb="FF9E2B2B"/>
      <sz val="9"/>
    </font>
    <font>
      <name val="Montserrat"/>
      <b val="1"/>
      <color rgb="FF9E2B2B"/>
      <sz val="9"/>
    </font>
    <font>
      <name val="Montserrat"/>
      <b val="1"/>
      <color rgb="FF9E2B2B"/>
      <sz val="10"/>
    </font>
    <font>
      <name val="Montserrat"/>
      <b val="1"/>
      <color rgb="FF000000"/>
      <sz val="12"/>
    </font>
  </fonts>
  <fills count="12">
    <fill>
      <patternFill/>
    </fill>
    <fill>
      <patternFill patternType="lightGray"/>
    </fill>
    <fill>
      <patternFill patternType="solid">
        <fgColor rgb="FF000000"/>
        <bgColor rgb="FF000000"/>
      </patternFill>
    </fill>
    <fill>
      <patternFill patternType="solid">
        <fgColor rgb="FF0C2340"/>
        <bgColor rgb="FF0C2340"/>
      </patternFill>
    </fill>
    <fill>
      <patternFill patternType="solid">
        <fgColor rgb="FFFFFFFF"/>
        <bgColor rgb="FFFFFFFF"/>
      </patternFill>
    </fill>
    <fill>
      <patternFill patternType="solid">
        <fgColor rgb="FF14385C"/>
        <bgColor rgb="FF14385C"/>
      </patternFill>
    </fill>
    <fill>
      <patternFill patternType="solid">
        <fgColor rgb="FF1E4E79"/>
        <bgColor rgb="FF1E4E79"/>
      </patternFill>
    </fill>
    <fill>
      <patternFill patternType="solid">
        <fgColor rgb="FFBFD0E0"/>
        <bgColor rgb="FFBFD0E0"/>
      </patternFill>
    </fill>
    <fill>
      <patternFill patternType="solid">
        <fgColor rgb="FFF4CCCC"/>
        <bgColor rgb="FFF4CCCC"/>
      </patternFill>
    </fill>
    <fill>
      <patternFill patternType="solid">
        <fgColor rgb="FF990000"/>
        <bgColor rgb="FF990000"/>
      </patternFill>
    </fill>
    <fill>
      <patternFill patternType="solid">
        <fgColor rgb="FFF6DCDC"/>
        <bgColor rgb="FFF6DCDC"/>
      </patternFill>
    </fill>
    <fill>
      <patternFill patternType="solid">
        <fgColor rgb="FF7A1F1F"/>
        <bgColor rgb="FF7A1F1F"/>
      </patternFill>
    </fill>
  </fills>
  <borders count="35">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top style="medium">
        <color rgb="FF000000"/>
      </top>
    </border>
    <border>
      <right style="thin">
        <color rgb="FF000000"/>
      </right>
      <top style="medium">
        <color rgb="FF000000"/>
      </top>
    </border>
    <border>
      <right style="medium">
        <color rgb="FF000000"/>
      </right>
      <top style="medium">
        <color rgb="FF000000"/>
      </top>
    </border>
    <border>
      <right style="medium">
        <color rgb="FF000000"/>
      </right>
      <top style="thin">
        <color rgb="FF000000"/>
      </top>
    </border>
    <border>
      <left style="thin">
        <color rgb="FF000000"/>
      </left>
      <right style="medium">
        <color rgb="FF000000"/>
      </right>
      <top style="thin">
        <color rgb="FF000000"/>
      </top>
      <bottom style="medium">
        <color rgb="FF000000"/>
      </bottom>
    </border>
  </borders>
  <cellStyleXfs count="1">
    <xf numFmtId="0" fontId="0" fillId="0" borderId="0"/>
  </cellStyleXfs>
  <cellXfs count="136">
    <xf numFmtId="0" fontId="0" fillId="0" borderId="0" applyAlignment="1" pivotButton="0" quotePrefix="0" xfId="0">
      <alignment vertical="bottom"/>
    </xf>
    <xf numFmtId="0" fontId="1" fillId="2" borderId="0" pivotButton="0" quotePrefix="0" xfId="0"/>
    <xf numFmtId="0" fontId="2" fillId="3" borderId="1" applyAlignment="1" pivotButton="0" quotePrefix="0" xfId="0">
      <alignment horizontal="left" vertical="center"/>
    </xf>
    <xf numFmtId="0" fontId="3" fillId="0" borderId="2" pivotButton="0" quotePrefix="0" xfId="0"/>
    <xf numFmtId="0" fontId="4" fillId="3" borderId="3" applyAlignment="1" pivotButton="0" quotePrefix="0" xfId="0">
      <alignment horizontal="left" vertical="center"/>
    </xf>
    <xf numFmtId="0" fontId="3" fillId="0" borderId="4" pivotButton="0" quotePrefix="0" xfId="0"/>
    <xf numFmtId="0" fontId="3" fillId="0" borderId="5" pivotButton="0" quotePrefix="0" xfId="0"/>
    <xf numFmtId="0" fontId="5" fillId="4" borderId="6" applyAlignment="1" pivotButton="0" quotePrefix="0" xfId="0">
      <alignment horizontal="left" vertical="center"/>
    </xf>
    <xf numFmtId="0" fontId="3" fillId="0" borderId="7" pivotButton="0" quotePrefix="0" xfId="0"/>
    <xf numFmtId="0" fontId="3" fillId="0" borderId="8" pivotButton="0" quotePrefix="0" xfId="0"/>
    <xf numFmtId="0" fontId="5" fillId="4" borderId="9" applyAlignment="1" pivotButton="0" quotePrefix="0" xfId="0">
      <alignment horizontal="left" vertical="center"/>
    </xf>
    <xf numFmtId="0" fontId="3" fillId="0" borderId="10" pivotButton="0" quotePrefix="0" xfId="0"/>
    <xf numFmtId="0" fontId="6" fillId="4" borderId="6" applyAlignment="1" pivotButton="0" quotePrefix="0" xfId="0">
      <alignment horizontal="left" vertical="center"/>
    </xf>
    <xf numFmtId="164" fontId="6" fillId="4" borderId="9" applyAlignment="1" pivotButton="0" quotePrefix="0" xfId="0">
      <alignment horizontal="left" vertical="center"/>
    </xf>
    <xf numFmtId="0" fontId="6" fillId="4" borderId="9" applyAlignment="1" pivotButton="0" quotePrefix="0" xfId="0">
      <alignment horizontal="left" vertical="center"/>
    </xf>
    <xf numFmtId="164" fontId="7" fillId="2" borderId="0" applyAlignment="1" pivotButton="0" quotePrefix="0" xfId="0">
      <alignment vertical="bottom"/>
    </xf>
    <xf numFmtId="0" fontId="6" fillId="4" borderId="9" applyAlignment="1" pivotButton="0" quotePrefix="0" xfId="0">
      <alignment horizontal="left" vertical="center"/>
    </xf>
    <xf numFmtId="0" fontId="5" fillId="4" borderId="6" applyAlignment="1" pivotButton="0" quotePrefix="0" xfId="0">
      <alignment horizontal="left" vertical="center"/>
    </xf>
    <xf numFmtId="0" fontId="8" fillId="4" borderId="9" applyAlignment="1" pivotButton="0" quotePrefix="0" xfId="0">
      <alignment horizontal="left" vertical="center"/>
    </xf>
    <xf numFmtId="0" fontId="8" fillId="4" borderId="9" applyAlignment="1" pivotButton="0" quotePrefix="0" xfId="0">
      <alignment horizontal="left" vertical="center"/>
    </xf>
    <xf numFmtId="0" fontId="6" fillId="4" borderId="6" applyAlignment="1" pivotButton="0" quotePrefix="0" xfId="0">
      <alignment horizontal="left" vertical="center"/>
    </xf>
    <xf numFmtId="0" fontId="9" fillId="5" borderId="11" applyAlignment="1" pivotButton="0" quotePrefix="0" xfId="0">
      <alignment horizontal="center" vertical="center"/>
    </xf>
    <xf numFmtId="0" fontId="9" fillId="5" borderId="12" applyAlignment="1" pivotButton="0" quotePrefix="0" xfId="0">
      <alignment horizontal="center" vertical="center"/>
    </xf>
    <xf numFmtId="0" fontId="9" fillId="5" borderId="3" applyAlignment="1" pivotButton="0" quotePrefix="0" xfId="0">
      <alignment horizontal="left" vertical="center"/>
    </xf>
    <xf numFmtId="20" fontId="10" fillId="4" borderId="13" applyAlignment="1" pivotButton="0" quotePrefix="0" xfId="0">
      <alignment horizontal="center" vertical="center"/>
    </xf>
    <xf numFmtId="20" fontId="10" fillId="4" borderId="14" applyAlignment="1" pivotButton="0" quotePrefix="0" xfId="0">
      <alignment horizontal="center" vertical="center"/>
    </xf>
    <xf numFmtId="0" fontId="10" fillId="4" borderId="9" applyAlignment="1" pivotButton="0" quotePrefix="0" xfId="0">
      <alignment horizontal="left" vertical="center"/>
    </xf>
    <xf numFmtId="20" fontId="11" fillId="4" borderId="13" applyAlignment="1" pivotButton="0" quotePrefix="0" xfId="0">
      <alignment horizontal="center" vertical="center"/>
    </xf>
    <xf numFmtId="20" fontId="11" fillId="4" borderId="14" applyAlignment="1" pivotButton="0" quotePrefix="0" xfId="0">
      <alignment horizontal="center" vertical="center"/>
    </xf>
    <xf numFmtId="0" fontId="11" fillId="4" borderId="9" applyAlignment="1" pivotButton="0" quotePrefix="0" xfId="0">
      <alignment horizontal="left" vertical="center"/>
    </xf>
    <xf numFmtId="20" fontId="10" fillId="4" borderId="15" applyAlignment="1" pivotButton="0" quotePrefix="0" xfId="0">
      <alignment horizontal="center" vertical="center"/>
    </xf>
    <xf numFmtId="20" fontId="10" fillId="4" borderId="16" applyAlignment="1" pivotButton="0" quotePrefix="0" xfId="0">
      <alignment horizontal="center" vertical="center"/>
    </xf>
    <xf numFmtId="0" fontId="10" fillId="4" borderId="17" applyAlignment="1" pivotButton="0" quotePrefix="0" xfId="0">
      <alignment horizontal="left" vertical="center"/>
    </xf>
    <xf numFmtId="0" fontId="3" fillId="0" borderId="18" pivotButton="0" quotePrefix="0" xfId="0"/>
    <xf numFmtId="0" fontId="3" fillId="0" borderId="19" pivotButton="0" quotePrefix="0" xfId="0"/>
    <xf numFmtId="0" fontId="9" fillId="6" borderId="11" applyAlignment="1" pivotButton="0" quotePrefix="0" xfId="0">
      <alignment horizontal="center" vertical="center" wrapText="1"/>
    </xf>
    <xf numFmtId="0" fontId="9" fillId="6" borderId="12" applyAlignment="1" pivotButton="0" quotePrefix="0" xfId="0">
      <alignment horizontal="center" vertical="center" wrapText="1"/>
    </xf>
    <xf numFmtId="0" fontId="9" fillId="6" borderId="12" applyAlignment="1" pivotButton="0" quotePrefix="0" xfId="0">
      <alignment horizontal="left" vertical="center" wrapText="1"/>
    </xf>
    <xf numFmtId="0" fontId="9" fillId="6" borderId="20" applyAlignment="1" pivotButton="0" quotePrefix="0" xfId="0">
      <alignment horizontal="center" vertical="center" wrapText="1"/>
    </xf>
    <xf numFmtId="0" fontId="12" fillId="5" borderId="13" applyAlignment="1" pivotButton="0" quotePrefix="0" xfId="0">
      <alignment horizontal="center" vertical="center" wrapText="1"/>
    </xf>
    <xf numFmtId="20" fontId="13" fillId="5" borderId="14" applyAlignment="1" pivotButton="0" quotePrefix="0" xfId="0">
      <alignment horizontal="center" vertical="center" wrapText="1"/>
    </xf>
    <xf numFmtId="0" fontId="14" fillId="5" borderId="14" applyAlignment="1" pivotButton="0" quotePrefix="0" xfId="0">
      <alignment horizontal="left" vertical="center" wrapText="1"/>
    </xf>
    <xf numFmtId="0" fontId="14" fillId="5" borderId="14" applyAlignment="1" pivotButton="0" quotePrefix="0" xfId="0">
      <alignment horizontal="center" vertical="center" wrapText="1"/>
    </xf>
    <xf numFmtId="0" fontId="14" fillId="5" borderId="14" applyAlignment="1" pivotButton="0" quotePrefix="0" xfId="0">
      <alignment horizontal="left" vertical="center" wrapText="1"/>
    </xf>
    <xf numFmtId="0" fontId="14" fillId="5" borderId="21" applyAlignment="1" pivotButton="0" quotePrefix="0" xfId="0">
      <alignment horizontal="center" vertical="center" wrapText="1"/>
    </xf>
    <xf numFmtId="0" fontId="15" fillId="7" borderId="13" applyAlignment="1" pivotButton="0" quotePrefix="0" xfId="0">
      <alignment horizontal="center" vertical="center" wrapText="1"/>
    </xf>
    <xf numFmtId="20" fontId="16" fillId="7" borderId="14" applyAlignment="1" pivotButton="0" quotePrefix="0" xfId="0">
      <alignment horizontal="center" vertical="center" wrapText="1"/>
    </xf>
    <xf numFmtId="0" fontId="15" fillId="4" borderId="14" applyAlignment="1" pivotButton="0" quotePrefix="0" xfId="0">
      <alignment horizontal="left" vertical="center" wrapText="1"/>
    </xf>
    <xf numFmtId="0" fontId="13" fillId="4" borderId="14" applyAlignment="1" pivotButton="0" quotePrefix="0" xfId="0">
      <alignment horizontal="center" vertical="center" wrapText="1"/>
    </xf>
    <xf numFmtId="0" fontId="16" fillId="4" borderId="14" applyAlignment="1" pivotButton="0" quotePrefix="0" xfId="0">
      <alignment horizontal="left" vertical="center" wrapText="1"/>
    </xf>
    <xf numFmtId="0" fontId="15" fillId="4" borderId="14" applyAlignment="1" pivotButton="0" quotePrefix="0" xfId="0">
      <alignment horizontal="left" vertical="center" wrapText="1"/>
    </xf>
    <xf numFmtId="0" fontId="17" fillId="4" borderId="14" applyAlignment="1" pivotButton="0" quotePrefix="0" xfId="0">
      <alignment horizontal="left" vertical="center" wrapText="1"/>
    </xf>
    <xf numFmtId="0" fontId="15" fillId="4" borderId="21" applyAlignment="1" pivotButton="0" quotePrefix="0" xfId="0">
      <alignment horizontal="left" vertical="center" wrapText="1"/>
    </xf>
    <xf numFmtId="0" fontId="17" fillId="4" borderId="14" applyAlignment="1" pivotButton="0" quotePrefix="0" xfId="0">
      <alignment horizontal="left" vertical="center" wrapText="1"/>
    </xf>
    <xf numFmtId="0" fontId="14" fillId="5" borderId="21" applyAlignment="1" pivotButton="0" quotePrefix="0" xfId="0">
      <alignment horizontal="left" vertical="center" wrapText="1"/>
    </xf>
    <xf numFmtId="0" fontId="18" fillId="8" borderId="13" applyAlignment="1" pivotButton="0" quotePrefix="0" xfId="0">
      <alignment horizontal="center" vertical="center" wrapText="1"/>
    </xf>
    <xf numFmtId="20" fontId="19" fillId="8" borderId="14" applyAlignment="1" pivotButton="0" quotePrefix="0" xfId="0">
      <alignment horizontal="center" vertical="center" wrapText="1"/>
    </xf>
    <xf numFmtId="0" fontId="20" fillId="8" borderId="14" applyAlignment="1" pivotButton="0" quotePrefix="0" xfId="0">
      <alignment horizontal="left" vertical="center" wrapText="1"/>
    </xf>
    <xf numFmtId="0" fontId="18" fillId="8" borderId="14" applyAlignment="1" pivotButton="0" quotePrefix="0" xfId="0">
      <alignment horizontal="center" vertical="center" wrapText="1"/>
    </xf>
    <xf numFmtId="0" fontId="19" fillId="8" borderId="14" applyAlignment="1" pivotButton="0" quotePrefix="0" xfId="0">
      <alignment horizontal="left" vertical="center" wrapText="1"/>
    </xf>
    <xf numFmtId="0" fontId="18" fillId="8" borderId="14" applyAlignment="1" pivotButton="0" quotePrefix="0" xfId="0">
      <alignment horizontal="left" vertical="center" wrapText="1"/>
    </xf>
    <xf numFmtId="0" fontId="18" fillId="8" borderId="21" applyAlignment="1" pivotButton="0" quotePrefix="0" xfId="0">
      <alignment horizontal="left" vertical="center" wrapText="1"/>
    </xf>
    <xf numFmtId="0" fontId="12" fillId="4" borderId="14" applyAlignment="1" pivotButton="0" quotePrefix="0" xfId="0">
      <alignment horizontal="center" vertical="center" wrapText="1"/>
    </xf>
    <xf numFmtId="0" fontId="14" fillId="9" borderId="13" applyAlignment="1" pivotButton="0" quotePrefix="0" xfId="0">
      <alignment horizontal="center" vertical="center"/>
    </xf>
    <xf numFmtId="20" fontId="9" fillId="9" borderId="14" applyAlignment="1" pivotButton="0" quotePrefix="0" xfId="0">
      <alignment horizontal="center" vertical="center"/>
    </xf>
    <xf numFmtId="0" fontId="14" fillId="9" borderId="14" applyAlignment="1" pivotButton="0" quotePrefix="0" xfId="0">
      <alignment horizontal="left" vertical="center"/>
    </xf>
    <xf numFmtId="0" fontId="14" fillId="9" borderId="14" applyAlignment="1" pivotButton="0" quotePrefix="0" xfId="0">
      <alignment horizontal="center" vertical="center"/>
    </xf>
    <xf numFmtId="0" fontId="14" fillId="9" borderId="21" applyAlignment="1" pivotButton="0" quotePrefix="0" xfId="0">
      <alignment horizontal="left" vertical="center"/>
    </xf>
    <xf numFmtId="0" fontId="21" fillId="10" borderId="13" applyAlignment="1" pivotButton="0" quotePrefix="0" xfId="0">
      <alignment horizontal="center" vertical="center" wrapText="1"/>
    </xf>
    <xf numFmtId="20" fontId="22" fillId="10" borderId="14" applyAlignment="1" pivotButton="0" quotePrefix="0" xfId="0">
      <alignment horizontal="center" vertical="center" wrapText="1"/>
    </xf>
    <xf numFmtId="0" fontId="23" fillId="10" borderId="14" applyAlignment="1" pivotButton="0" quotePrefix="0" xfId="0">
      <alignment horizontal="left" vertical="center" wrapText="1"/>
    </xf>
    <xf numFmtId="0" fontId="21" fillId="10" borderId="14" applyAlignment="1" pivotButton="0" quotePrefix="0" xfId="0">
      <alignment horizontal="center" vertical="center" wrapText="1"/>
    </xf>
    <xf numFmtId="0" fontId="22" fillId="10" borderId="14" applyAlignment="1" pivotButton="0" quotePrefix="0" xfId="0">
      <alignment horizontal="left" vertical="center" wrapText="1"/>
    </xf>
    <xf numFmtId="0" fontId="21" fillId="10" borderId="14" applyAlignment="1" pivotButton="0" quotePrefix="0" xfId="0">
      <alignment horizontal="left" vertical="center" wrapText="1"/>
    </xf>
    <xf numFmtId="0" fontId="21" fillId="10" borderId="21" applyAlignment="1" pivotButton="0" quotePrefix="0" xfId="0">
      <alignment horizontal="left" vertical="center" wrapText="1"/>
    </xf>
    <xf numFmtId="0" fontId="20" fillId="8" borderId="14" applyAlignment="1" pivotButton="0" quotePrefix="0" xfId="0">
      <alignment horizontal="left" vertical="center" wrapText="1"/>
    </xf>
    <xf numFmtId="0" fontId="15" fillId="7" borderId="22" applyAlignment="1" pivotButton="0" quotePrefix="0" xfId="0">
      <alignment horizontal="center" vertical="center" wrapText="1"/>
    </xf>
    <xf numFmtId="20" fontId="16" fillId="7" borderId="23" applyAlignment="1" pivotButton="0" quotePrefix="0" xfId="0">
      <alignment horizontal="center" vertical="center" wrapText="1"/>
    </xf>
    <xf numFmtId="0" fontId="15" fillId="4" borderId="23" applyAlignment="1" pivotButton="0" quotePrefix="0" xfId="0">
      <alignment horizontal="left" vertical="center" wrapText="1"/>
    </xf>
    <xf numFmtId="0" fontId="12" fillId="4" borderId="23" applyAlignment="1" pivotButton="0" quotePrefix="0" xfId="0">
      <alignment horizontal="center" vertical="center" wrapText="1"/>
    </xf>
    <xf numFmtId="0" fontId="16" fillId="4" borderId="23" applyAlignment="1" pivotButton="0" quotePrefix="0" xfId="0">
      <alignment horizontal="left" vertical="center" wrapText="1"/>
    </xf>
    <xf numFmtId="0" fontId="15" fillId="4" borderId="23" applyAlignment="1" pivotButton="0" quotePrefix="0" xfId="0">
      <alignment horizontal="left" vertical="center" wrapText="1"/>
    </xf>
    <xf numFmtId="0" fontId="15" fillId="4" borderId="24" applyAlignment="1" pivotButton="0" quotePrefix="0" xfId="0">
      <alignment horizontal="left" vertical="center" wrapText="1"/>
    </xf>
    <xf numFmtId="0" fontId="14" fillId="11" borderId="14" applyAlignment="1" pivotButton="0" quotePrefix="0" xfId="0">
      <alignment horizontal="center" vertical="center"/>
    </xf>
    <xf numFmtId="20" fontId="9" fillId="11" borderId="14" applyAlignment="1" pivotButton="0" quotePrefix="0" xfId="0">
      <alignment horizontal="center" vertical="center"/>
    </xf>
    <xf numFmtId="0" fontId="14" fillId="11" borderId="14" applyAlignment="1" pivotButton="0" quotePrefix="0" xfId="0">
      <alignment horizontal="left" vertical="center"/>
    </xf>
    <xf numFmtId="0" fontId="14" fillId="11" borderId="25" applyAlignment="1" pivotButton="0" quotePrefix="0" xfId="0">
      <alignment horizontal="center" vertical="center"/>
    </xf>
    <xf numFmtId="0" fontId="14" fillId="11" borderId="25" applyAlignment="1" pivotButton="0" quotePrefix="0" xfId="0">
      <alignment horizontal="left" vertical="center"/>
    </xf>
    <xf numFmtId="0" fontId="14" fillId="11" borderId="26" applyAlignment="1" pivotButton="0" quotePrefix="0" xfId="0">
      <alignment horizontal="center" vertical="center"/>
    </xf>
    <xf numFmtId="0" fontId="14" fillId="11" borderId="27" applyAlignment="1" pivotButton="0" quotePrefix="0" xfId="0">
      <alignment horizontal="center" vertical="center" wrapText="1"/>
    </xf>
    <xf numFmtId="0" fontId="14" fillId="11" borderId="28" applyAlignment="1" pivotButton="0" quotePrefix="0" xfId="0">
      <alignment horizontal="center" vertical="center" wrapText="1"/>
    </xf>
    <xf numFmtId="0" fontId="14" fillId="11" borderId="28" applyAlignment="1" pivotButton="0" quotePrefix="0" xfId="0">
      <alignment horizontal="left" vertical="center" wrapText="1"/>
    </xf>
    <xf numFmtId="0" fontId="14" fillId="11" borderId="29" applyAlignment="1" pivotButton="0" quotePrefix="0" xfId="0">
      <alignment horizontal="center" vertical="center" wrapText="1"/>
    </xf>
    <xf numFmtId="0" fontId="1" fillId="0" borderId="0" pivotButton="0" quotePrefix="0" xfId="0"/>
    <xf numFmtId="164" fontId="7" fillId="0" borderId="0" applyAlignment="1" pivotButton="0" quotePrefix="0" xfId="0">
      <alignment vertical="bottom"/>
    </xf>
    <xf numFmtId="0" fontId="14" fillId="5" borderId="14" applyAlignment="1" pivotButton="0" quotePrefix="0" xfId="0">
      <alignment horizontal="center" vertical="center" wrapText="1"/>
    </xf>
    <xf numFmtId="0" fontId="16" fillId="4" borderId="14" applyAlignment="1" pivotButton="0" quotePrefix="0" xfId="0">
      <alignment horizontal="left" vertical="center" wrapText="1"/>
    </xf>
    <xf numFmtId="164" fontId="5" fillId="4" borderId="9" pivotButton="0" quotePrefix="0" xfId="0"/>
    <xf numFmtId="0" fontId="24" fillId="4" borderId="9" applyAlignment="1" pivotButton="0" quotePrefix="0" xfId="0">
      <alignment horizontal="left"/>
    </xf>
    <xf numFmtId="0" fontId="6" fillId="4" borderId="9" pivotButton="0" quotePrefix="0" xfId="0"/>
    <xf numFmtId="0" fontId="5" fillId="4" borderId="7" applyAlignment="1" pivotButton="0" quotePrefix="0" xfId="0">
      <alignment horizontal="left" vertical="center"/>
    </xf>
    <xf numFmtId="0" fontId="6" fillId="4" borderId="9" pivotButton="0" quotePrefix="0" xfId="0"/>
    <xf numFmtId="0" fontId="8" fillId="4" borderId="7" applyAlignment="1" pivotButton="0" quotePrefix="0" xfId="0">
      <alignment horizontal="left" vertical="center"/>
    </xf>
    <xf numFmtId="164" fontId="8" fillId="4" borderId="9" pivotButton="0" quotePrefix="0" xfId="0"/>
    <xf numFmtId="0" fontId="15" fillId="4" borderId="14" applyAlignment="1" pivotButton="0" quotePrefix="0" xfId="0">
      <alignment horizontal="center" vertical="center" wrapText="1"/>
    </xf>
    <xf numFmtId="0" fontId="15" fillId="4" borderId="21" applyAlignment="1" pivotButton="0" quotePrefix="0" xfId="0">
      <alignment horizontal="center" vertical="center" wrapText="1"/>
    </xf>
    <xf numFmtId="0" fontId="14" fillId="9" borderId="21" applyAlignment="1" pivotButton="0" quotePrefix="0" xfId="0">
      <alignment horizontal="center" vertical="center"/>
    </xf>
    <xf numFmtId="0" fontId="15" fillId="4" borderId="23" applyAlignment="1" pivotButton="0" quotePrefix="0" xfId="0">
      <alignment horizontal="center" vertical="center" wrapText="1"/>
    </xf>
    <xf numFmtId="0" fontId="15" fillId="4" borderId="24" applyAlignment="1" pivotButton="0" quotePrefix="0" xfId="0">
      <alignment horizontal="center" vertical="center" wrapText="1"/>
    </xf>
    <xf numFmtId="0" fontId="0" fillId="0" borderId="0" pivotButton="0" quotePrefix="0" xfId="0"/>
    <xf numFmtId="0" fontId="2" fillId="3" borderId="11" applyAlignment="1" pivotButton="0" quotePrefix="0" xfId="0">
      <alignment horizontal="left" vertical="center"/>
    </xf>
    <xf numFmtId="0" fontId="0" fillId="0" borderId="2" pivotButton="0" quotePrefix="0" xfId="0"/>
    <xf numFmtId="0" fontId="4" fillId="3" borderId="20" applyAlignment="1" pivotButton="0" quotePrefix="0" xfId="0">
      <alignment horizontal="left" vertical="center"/>
    </xf>
    <xf numFmtId="0" fontId="0" fillId="0" borderId="4" pivotButton="0" quotePrefix="0" xfId="0"/>
    <xf numFmtId="0" fontId="0" fillId="0" borderId="5" pivotButton="0" quotePrefix="0" xfId="0"/>
    <xf numFmtId="0" fontId="5" fillId="4" borderId="13" applyAlignment="1" pivotButton="0" quotePrefix="0" xfId="0">
      <alignment horizontal="left" vertical="center"/>
    </xf>
    <xf numFmtId="0" fontId="0" fillId="0" borderId="7" pivotButton="0" quotePrefix="0" xfId="0"/>
    <xf numFmtId="0" fontId="0" fillId="0" borderId="8" pivotButton="0" quotePrefix="0" xfId="0"/>
    <xf numFmtId="0" fontId="5" fillId="4" borderId="14" applyAlignment="1" pivotButton="0" quotePrefix="0" xfId="0">
      <alignment horizontal="left" vertical="center"/>
    </xf>
    <xf numFmtId="0" fontId="5" fillId="4" borderId="21" applyAlignment="1" pivotButton="0" quotePrefix="0" xfId="0">
      <alignment horizontal="left" vertical="center"/>
    </xf>
    <xf numFmtId="0" fontId="0" fillId="0" borderId="10" pivotButton="0" quotePrefix="0" xfId="0"/>
    <xf numFmtId="0" fontId="6" fillId="4" borderId="13" applyAlignment="1" pivotButton="0" quotePrefix="0" xfId="0">
      <alignment horizontal="left" vertical="center"/>
    </xf>
    <xf numFmtId="164" fontId="6" fillId="4" borderId="14" applyAlignment="1" pivotButton="0" quotePrefix="0" xfId="0">
      <alignment horizontal="left" vertical="center"/>
    </xf>
    <xf numFmtId="0" fontId="6" fillId="4" borderId="21" applyAlignment="1" pivotButton="0" quotePrefix="0" xfId="0">
      <alignment horizontal="left" vertical="center"/>
    </xf>
    <xf numFmtId="0" fontId="8" fillId="4" borderId="14" applyAlignment="1" pivotButton="0" quotePrefix="0" xfId="0">
      <alignment horizontal="left" vertical="center"/>
    </xf>
    <xf numFmtId="0" fontId="8" fillId="4" borderId="21" applyAlignment="1" pivotButton="0" quotePrefix="0" xfId="0">
      <alignment horizontal="left" vertical="center"/>
    </xf>
    <xf numFmtId="0" fontId="9" fillId="5" borderId="20" applyAlignment="1" pivotButton="0" quotePrefix="0" xfId="0">
      <alignment horizontal="left" vertical="center"/>
    </xf>
    <xf numFmtId="0" fontId="10" fillId="4" borderId="21" applyAlignment="1" pivotButton="0" quotePrefix="0" xfId="0">
      <alignment horizontal="left" vertical="center"/>
    </xf>
    <xf numFmtId="0" fontId="11" fillId="4" borderId="21" applyAlignment="1" pivotButton="0" quotePrefix="0" xfId="0">
      <alignment horizontal="left" vertical="center"/>
    </xf>
    <xf numFmtId="0" fontId="10" fillId="4" borderId="34" applyAlignment="1" pivotButton="0" quotePrefix="0" xfId="0">
      <alignment horizontal="left" vertical="center"/>
    </xf>
    <xf numFmtId="0" fontId="0" fillId="0" borderId="18" pivotButton="0" quotePrefix="0" xfId="0"/>
    <xf numFmtId="0" fontId="0" fillId="0" borderId="19" pivotButton="0" quotePrefix="0" xfId="0"/>
    <xf numFmtId="164" fontId="5" fillId="4" borderId="21" pivotButton="0" quotePrefix="0" xfId="0"/>
    <xf numFmtId="0" fontId="24" fillId="4" borderId="21" applyAlignment="1" pivotButton="0" quotePrefix="0" xfId="0">
      <alignment horizontal="left"/>
    </xf>
    <xf numFmtId="0" fontId="6" fillId="4" borderId="21" pivotButton="0" quotePrefix="0" xfId="0"/>
    <xf numFmtId="164" fontId="8" fillId="4" borderId="21"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M51"/>
  <sheetViews>
    <sheetView showGridLines="0" workbookViewId="0">
      <pane ySplit="17" topLeftCell="A18" activePane="bottomLeft" state="frozen"/>
      <selection pane="bottomLeft" activeCell="B19" sqref="B19"/>
    </sheetView>
  </sheetViews>
  <sheetFormatPr baseColWidth="8" defaultColWidth="14.43" defaultRowHeight="15" customHeight="1"/>
  <cols>
    <col width="1.57" customWidth="1" style="109" min="1" max="1"/>
    <col width="9" customWidth="1" style="109" min="2" max="2"/>
    <col width="8.43" customWidth="1" style="109" min="3" max="4"/>
    <col width="30" customWidth="1" style="109" min="5" max="5"/>
    <col width="5.57" customWidth="1" style="109" min="6" max="6"/>
    <col width="13.43" customWidth="1" style="109" min="7" max="8"/>
    <col width="17" customWidth="1" style="109" min="9" max="9"/>
    <col width="11.71" customWidth="1" style="109" min="10" max="10"/>
    <col width="33" customWidth="1" style="109" min="11" max="11"/>
    <col width="16" customWidth="1" style="109" min="12" max="12"/>
    <col width="2.29" customWidth="1" style="109" min="13" max="13"/>
  </cols>
  <sheetData>
    <row r="1" ht="9" customHeight="1" s="109">
      <c r="A1" s="1" t="n"/>
      <c r="B1" s="1" t="n"/>
      <c r="C1" s="1" t="n"/>
      <c r="D1" s="1" t="n"/>
      <c r="E1" s="1" t="n"/>
      <c r="F1" s="1" t="n"/>
      <c r="G1" s="1" t="n"/>
      <c r="H1" s="1" t="n"/>
      <c r="I1" s="1" t="n"/>
      <c r="J1" s="1" t="n"/>
      <c r="K1" s="1" t="n"/>
      <c r="L1" s="1" t="n"/>
      <c r="M1" s="1" t="n"/>
    </row>
    <row r="2" ht="37.5" customHeight="1" s="109">
      <c r="A2" s="1" t="n"/>
      <c r="B2" s="110" t="inlineStr">
        <is>
          <t>SIIMON</t>
        </is>
      </c>
      <c r="C2" s="111" t="n"/>
      <c r="D2" s="112" t="inlineStr">
        <is>
          <t>DD#1   |   19-06-2026</t>
        </is>
      </c>
      <c r="E2" s="113" t="n"/>
      <c r="F2" s="113" t="n"/>
      <c r="G2" s="113" t="n"/>
      <c r="H2" s="113" t="n"/>
      <c r="I2" s="113" t="n"/>
      <c r="J2" s="113" t="n"/>
      <c r="K2" s="113" t="n"/>
      <c r="L2" s="114" t="n"/>
      <c r="M2" s="1" t="n">
        <v>60</v>
      </c>
    </row>
    <row r="3" ht="9.75" customHeight="1" s="109">
      <c r="A3" s="1" t="n"/>
      <c r="B3" s="115" t="inlineStr">
        <is>
          <t>REGISSEUR</t>
        </is>
      </c>
      <c r="C3" s="116" t="n"/>
      <c r="D3" s="116" t="n"/>
      <c r="E3" s="117" t="n"/>
      <c r="F3" s="118" t="inlineStr">
        <is>
          <t>CREW</t>
        </is>
      </c>
      <c r="G3" s="116" t="n"/>
      <c r="H3" s="116" t="n"/>
      <c r="I3" s="117" t="n"/>
      <c r="J3" s="119" t="inlineStr">
        <is>
          <t>SCÈNES</t>
        </is>
      </c>
      <c r="K3" s="116" t="n"/>
      <c r="L3" s="120" t="n"/>
      <c r="M3" s="1" t="n">
        <v>30</v>
      </c>
    </row>
    <row r="4" ht="15" customHeight="1" s="109">
      <c r="A4" s="1" t="n"/>
      <c r="B4" s="121" t="inlineStr">
        <is>
          <t>Julius Timmer</t>
        </is>
      </c>
      <c r="C4" s="116" t="n"/>
      <c r="D4" s="116" t="n"/>
      <c r="E4" s="117" t="n"/>
      <c r="F4" s="122">
        <f>$B$15-$M$2/1440</f>
        <v/>
      </c>
      <c r="G4" s="116" t="n"/>
      <c r="H4" s="116" t="n"/>
      <c r="I4" s="117" t="n"/>
      <c r="J4" s="123" t="inlineStr">
        <is>
          <t>2, 4, 5</t>
        </is>
      </c>
      <c r="K4" s="116" t="n"/>
      <c r="L4" s="120" t="n"/>
      <c r="M4" s="1" t="n">
        <v>15</v>
      </c>
    </row>
    <row r="5" ht="9.75" customHeight="1" s="109">
      <c r="A5" s="1" t="n"/>
      <c r="B5" s="115" t="inlineStr">
        <is>
          <t>D.O.P.</t>
        </is>
      </c>
      <c r="C5" s="116" t="n"/>
      <c r="D5" s="116" t="n"/>
      <c r="E5" s="117" t="n"/>
      <c r="F5" s="118" t="inlineStr">
        <is>
          <t>SHOOT</t>
        </is>
      </c>
      <c r="G5" s="116" t="n"/>
      <c r="H5" s="116" t="n"/>
      <c r="I5" s="117" t="n"/>
      <c r="J5" s="119" t="inlineStr">
        <is>
          <t>CAST</t>
        </is>
      </c>
      <c r="K5" s="116" t="n"/>
      <c r="L5" s="120" t="n"/>
      <c r="M5" s="1" t="n"/>
    </row>
    <row r="6" ht="15" customHeight="1" s="109">
      <c r="A6" s="1" t="n"/>
      <c r="B6" s="121" t="inlineStr">
        <is>
          <t>Maarten Brom</t>
        </is>
      </c>
      <c r="C6" s="116" t="n"/>
      <c r="D6" s="116" t="n"/>
      <c r="E6" s="117" t="n"/>
      <c r="F6" s="122">
        <f>$B$15</f>
        <v/>
      </c>
      <c r="G6" s="116" t="n"/>
      <c r="H6" s="116" t="n"/>
      <c r="I6" s="117" t="n"/>
      <c r="J6" s="123" t="inlineStr">
        <is>
          <t>Moussa, Leonor</t>
        </is>
      </c>
      <c r="K6" s="116" t="n"/>
      <c r="L6" s="120" t="n"/>
      <c r="M6" s="15">
        <f t="array" ref="M6">IFERROR(MIN(IF(ISNUMBER(SEARCH("Moussa",L18:L50)),C18:C50,"")),"")</f>
        <v/>
      </c>
    </row>
    <row r="7" ht="9.75" customHeight="1" s="109">
      <c r="A7" s="1" t="n"/>
      <c r="B7" s="115" t="inlineStr">
        <is>
          <t>FIRST AD</t>
        </is>
      </c>
      <c r="C7" s="116" t="n"/>
      <c r="D7" s="116" t="n"/>
      <c r="E7" s="117" t="n"/>
      <c r="F7" s="118" t="inlineStr">
        <is>
          <t>LUNCH</t>
        </is>
      </c>
      <c r="G7" s="116" t="n"/>
      <c r="H7" s="116" t="n"/>
      <c r="I7" s="117" t="n"/>
      <c r="J7" s="119" t="inlineStr">
        <is>
          <t>LOCATIE</t>
        </is>
      </c>
      <c r="K7" s="116" t="n"/>
      <c r="L7" s="120" t="n"/>
      <c r="M7" s="15">
        <f t="array" ref="M7">IFERROR(MIN(IF(ISNUMBER(SEARCH("Leonor",L18:L50)),C18:C50,"")),"")</f>
        <v/>
      </c>
    </row>
    <row r="8" ht="15" customHeight="1" s="109">
      <c r="A8" s="1" t="n"/>
      <c r="B8" s="121" t="inlineStr">
        <is>
          <t>Yassin van Veenendaal</t>
        </is>
      </c>
      <c r="C8" s="116" t="n"/>
      <c r="D8" s="116" t="n"/>
      <c r="E8" s="117" t="n"/>
      <c r="F8" s="122">
        <f>IFERROR(C28,"")</f>
        <v/>
      </c>
      <c r="G8" s="116" t="n"/>
      <c r="H8" s="116" t="n"/>
      <c r="I8" s="117" t="n"/>
      <c r="J8" s="123" t="inlineStr">
        <is>
          <t>Stuntbase</t>
        </is>
      </c>
      <c r="K8" s="116" t="n"/>
      <c r="L8" s="120" t="n"/>
      <c r="M8" s="1" t="n"/>
    </row>
    <row r="9" ht="9.75" customHeight="1" s="109">
      <c r="A9" s="1" t="n"/>
      <c r="B9" s="115" t="inlineStr">
        <is>
          <t>ADRES</t>
        </is>
      </c>
      <c r="C9" s="116" t="n"/>
      <c r="D9" s="116" t="n"/>
      <c r="E9" s="117" t="n"/>
      <c r="F9" s="124" t="inlineStr">
        <is>
          <t>WRAP</t>
        </is>
      </c>
      <c r="G9" s="116" t="n"/>
      <c r="H9" s="116" t="n"/>
      <c r="I9" s="117" t="n"/>
      <c r="J9" s="125" t="inlineStr">
        <is>
          <t>DRAAIDAG</t>
        </is>
      </c>
      <c r="K9" s="116" t="n"/>
      <c r="L9" s="120" t="n"/>
      <c r="M9" s="1" t="n"/>
    </row>
    <row r="10" ht="15" customHeight="1" s="109">
      <c r="A10" s="1" t="n"/>
      <c r="B10" s="121" t="inlineStr">
        <is>
          <t>Vrijheidweg 49, 1521 RP Wormerveer</t>
        </is>
      </c>
      <c r="C10" s="116" t="n"/>
      <c r="D10" s="116" t="n"/>
      <c r="E10" s="117" t="n"/>
      <c r="F10" s="122">
        <f>IFERROR(D49,"")</f>
        <v/>
      </c>
      <c r="G10" s="116" t="n"/>
      <c r="H10" s="116" t="n"/>
      <c r="I10" s="117" t="n"/>
      <c r="J10" s="122">
        <f>IFERROR(D49-($B$15-$M$2/1440),"")</f>
        <v/>
      </c>
      <c r="K10" s="116" t="n"/>
      <c r="L10" s="117" t="n"/>
      <c r="M10" s="1" t="n"/>
    </row>
    <row r="11" ht="6.75" customHeight="1" s="109">
      <c r="A11" s="1" t="n"/>
      <c r="M11" s="1" t="n"/>
    </row>
    <row r="12" ht="15.75" customHeight="1" s="109">
      <c r="A12" s="1" t="n"/>
      <c r="B12" s="21" t="inlineStr">
        <is>
          <t>TIJD</t>
        </is>
      </c>
      <c r="C12" s="22" t="inlineStr">
        <is>
          <t>VAN</t>
        </is>
      </c>
      <c r="D12" s="22" t="inlineStr">
        <is>
          <t>TOT</t>
        </is>
      </c>
      <c r="E12" s="126" t="inlineStr">
        <is>
          <t>ACTIVITEIT</t>
        </is>
      </c>
      <c r="F12" s="113" t="n"/>
      <c r="G12" s="113" t="n"/>
      <c r="H12" s="113" t="n"/>
      <c r="I12" s="113" t="n"/>
      <c r="J12" s="113" t="n"/>
      <c r="K12" s="113" t="n"/>
      <c r="L12" s="114" t="n"/>
      <c r="M12" s="1" t="n"/>
    </row>
    <row r="13">
      <c r="A13" s="1" t="n"/>
      <c r="B13" s="24">
        <f>$B$15-$M$2/1440</f>
        <v/>
      </c>
      <c r="C13" s="25" t="n"/>
      <c r="D13" s="25" t="n"/>
      <c r="E13" s="127" t="inlineStr">
        <is>
          <t>Crewcall</t>
        </is>
      </c>
      <c r="F13" s="116" t="n"/>
      <c r="G13" s="116" t="n"/>
      <c r="H13" s="116" t="n"/>
      <c r="I13" s="116" t="n"/>
      <c r="J13" s="116" t="n"/>
      <c r="K13" s="116" t="n"/>
      <c r="L13" s="120" t="n"/>
      <c r="M13" s="1" t="n"/>
    </row>
    <row r="14">
      <c r="A14" s="1" t="n"/>
      <c r="B14" s="27">
        <f>$B$15-$M$2/1440</f>
        <v/>
      </c>
      <c r="C14" s="28">
        <f>$B$15-$M$2/1440</f>
        <v/>
      </c>
      <c r="D14" s="28">
        <f>$B$15</f>
        <v/>
      </c>
      <c r="E14" s="128" t="inlineStr">
        <is>
          <t>Opbouw</t>
        </is>
      </c>
      <c r="F14" s="116" t="n"/>
      <c r="G14" s="116" t="n"/>
      <c r="H14" s="116" t="n"/>
      <c r="I14" s="116" t="n"/>
      <c r="J14" s="116" t="n"/>
      <c r="K14" s="116" t="n"/>
      <c r="L14" s="120" t="n"/>
      <c r="M14" s="1" t="n"/>
    </row>
    <row r="15">
      <c r="A15" s="1" t="n"/>
      <c r="B15" s="30" t="n">
        <v>0.5763888888888888</v>
      </c>
      <c r="C15" s="31" t="n"/>
      <c r="D15" s="31" t="n"/>
      <c r="E15" s="129" t="inlineStr">
        <is>
          <t>Shooting call</t>
        </is>
      </c>
      <c r="F15" s="130" t="n"/>
      <c r="G15" s="130" t="n"/>
      <c r="H15" s="130" t="n"/>
      <c r="I15" s="130" t="n"/>
      <c r="J15" s="130" t="n"/>
      <c r="K15" s="130" t="n"/>
      <c r="L15" s="131" t="n"/>
      <c r="M15" s="1" t="n"/>
    </row>
    <row r="16" ht="7.5" customHeight="1" s="109">
      <c r="A16" s="1" t="n"/>
      <c r="M16" s="1" t="n"/>
    </row>
    <row r="17" ht="21.75" customHeight="1" s="109">
      <c r="A17" s="1" t="n"/>
      <c r="B17" s="35" t="inlineStr">
        <is>
          <t>Tijd (min)</t>
        </is>
      </c>
      <c r="C17" s="36" t="inlineStr">
        <is>
          <t>Van</t>
        </is>
      </c>
      <c r="D17" s="36" t="inlineStr">
        <is>
          <t>Tot</t>
        </is>
      </c>
      <c r="E17" s="37" t="inlineStr">
        <is>
          <t>Notes</t>
        </is>
      </c>
      <c r="F17" s="36" t="inlineStr">
        <is>
          <t>Nr</t>
        </is>
      </c>
      <c r="G17" s="36" t="inlineStr">
        <is>
          <t>Soort</t>
        </is>
      </c>
      <c r="H17" s="36" t="inlineStr">
        <is>
          <t>Grip</t>
        </is>
      </c>
      <c r="I17" s="36" t="inlineStr">
        <is>
          <t>Prop</t>
        </is>
      </c>
      <c r="J17" s="36" t="inlineStr">
        <is>
          <t>VFX</t>
        </is>
      </c>
      <c r="K17" s="37" t="inlineStr">
        <is>
          <t>Beschrijving</t>
        </is>
      </c>
      <c r="L17" s="38" t="inlineStr">
        <is>
          <t>Acteurs</t>
        </is>
      </c>
      <c r="M17" s="1" t="n"/>
    </row>
    <row r="18" ht="42.75" customHeight="1" s="109">
      <c r="A18" s="1" t="n"/>
      <c r="B18" s="39" t="n">
        <v>0</v>
      </c>
      <c r="C18" s="40">
        <f>IF(B18="","",$B$15)</f>
        <v/>
      </c>
      <c r="D18" s="40">
        <f>IF(B18="","",C18+(B18/1440))</f>
        <v/>
      </c>
      <c r="E18" s="43" t="inlineStr">
        <is>
          <t>Scène 4
INT. STUDIO
Ronde plaat</t>
        </is>
      </c>
      <c r="F18" s="95" t="n"/>
      <c r="G18" s="43" t="n"/>
      <c r="H18" s="43" t="inlineStr">
        <is>
          <t>13:50-15:30</t>
        </is>
      </c>
      <c r="I18" s="43" t="n"/>
      <c r="J18" s="43" t="n"/>
      <c r="K18" s="43" t="n"/>
      <c r="L18" s="54" t="n"/>
      <c r="M18" s="1" t="n"/>
    </row>
    <row r="19" ht="28.5" customHeight="1" s="109">
      <c r="A19" s="1" t="n"/>
      <c r="B19" s="55" t="n">
        <v>10</v>
      </c>
      <c r="C19" s="56">
        <f>IF(B19="","",D18)</f>
        <v/>
      </c>
      <c r="D19" s="56">
        <f>IF(B19="","",C19+(B19/1440))</f>
        <v/>
      </c>
      <c r="E19" s="75" t="inlineStr">
        <is>
          <t>Ombouw: ronde plaat rechtop zetten (staand)</t>
        </is>
      </c>
      <c r="F19" s="58" t="n"/>
      <c r="G19" s="59" t="n"/>
      <c r="H19" s="60" t="n"/>
      <c r="I19" s="60" t="n"/>
      <c r="J19" s="60" t="n"/>
      <c r="K19" s="60" t="n"/>
      <c r="L19" s="61" t="n"/>
      <c r="M19" s="1" t="n"/>
    </row>
    <row r="20" s="109">
      <c r="A20" s="1" t="n"/>
      <c r="B20" s="45" t="n">
        <v>25</v>
      </c>
      <c r="C20" s="46">
        <f>IF(B20="","",D19)</f>
        <v/>
      </c>
      <c r="D20" s="46">
        <f>IF(B20="","",C20+(B20/1440))</f>
        <v/>
      </c>
      <c r="E20" s="50" t="inlineStr">
        <is>
          <t xml:space="preserve">Effect: Flits/blur effect als 
overgang </t>
        </is>
      </c>
      <c r="F20" s="62" t="inlineStr">
        <is>
          <t>4.1</t>
        </is>
      </c>
      <c r="G20" s="96" t="inlineStr">
        <is>
          <t>Tot
Eye level</t>
        </is>
      </c>
      <c r="H20" s="50" t="inlineStr">
        <is>
          <t>Statief</t>
        </is>
      </c>
      <c r="I20" s="50" t="inlineStr">
        <is>
          <t>Ronde plaat: staat</t>
        </is>
      </c>
      <c r="J20" s="50" t="n"/>
      <c r="K20" s="50" t="inlineStr">
        <is>
          <t>Leonor staat silhouet voor de ronde plaat</t>
        </is>
      </c>
      <c r="L20" s="52" t="inlineStr">
        <is>
          <t>Leonor</t>
        </is>
      </c>
      <c r="M20" s="1" t="n"/>
    </row>
    <row r="21" s="109">
      <c r="A21" s="1" t="n"/>
      <c r="B21" s="45" t="n">
        <v>25</v>
      </c>
      <c r="C21" s="46">
        <f>IF(B21="","",D20)</f>
        <v/>
      </c>
      <c r="D21" s="46">
        <f>IF(B21="","",C21+(B21/1440))</f>
        <v/>
      </c>
      <c r="E21" s="50" t="inlineStr">
        <is>
          <t>Spelen met effecten</t>
        </is>
      </c>
      <c r="F21" s="62" t="inlineStr">
        <is>
          <t>4.2</t>
        </is>
      </c>
      <c r="G21" s="96" t="inlineStr">
        <is>
          <t>Med
Eye level</t>
        </is>
      </c>
      <c r="H21" s="50" t="inlineStr">
        <is>
          <t>Statief</t>
        </is>
      </c>
      <c r="I21" s="50" t="inlineStr">
        <is>
          <t>Ronde plaat: staat</t>
        </is>
      </c>
      <c r="J21" s="50" t="n"/>
      <c r="K21" s="50" t="inlineStr">
        <is>
          <t>Leonor staat silhouet voor de ronde plaat</t>
        </is>
      </c>
      <c r="L21" s="52" t="inlineStr">
        <is>
          <t>Leonor</t>
        </is>
      </c>
      <c r="M21" s="1" t="n"/>
    </row>
    <row r="22" s="109">
      <c r="A22" s="1" t="n"/>
      <c r="B22" s="45" t="n">
        <v>20</v>
      </c>
      <c r="C22" s="46">
        <f>IF(B22="","",D21)</f>
        <v/>
      </c>
      <c r="D22" s="46">
        <f>IF(B22="","",C22+(B22/1440))</f>
        <v/>
      </c>
      <c r="E22" s="50" t="inlineStr">
        <is>
          <t>Spelen met effecten</t>
        </is>
      </c>
      <c r="F22" s="62" t="inlineStr">
        <is>
          <t>4.3</t>
        </is>
      </c>
      <c r="G22" s="96" t="inlineStr">
        <is>
          <t>Close
Eye level</t>
        </is>
      </c>
      <c r="H22" s="50" t="inlineStr">
        <is>
          <t>Statief</t>
        </is>
      </c>
      <c r="I22" s="50" t="inlineStr">
        <is>
          <t>Ronde plaat: staat</t>
        </is>
      </c>
      <c r="J22" s="50" t="n"/>
      <c r="K22" s="50" t="inlineStr">
        <is>
          <t>Leonor staat silhouet voor de ronde plaat</t>
        </is>
      </c>
      <c r="L22" s="52" t="inlineStr">
        <is>
          <t>Leonor</t>
        </is>
      </c>
      <c r="M22" s="1" t="n"/>
    </row>
    <row r="23" s="109">
      <c r="A23" s="1" t="n"/>
      <c r="B23" s="45" t="n">
        <v>20</v>
      </c>
      <c r="C23" s="46">
        <f>IF(B23="","",D22)</f>
        <v/>
      </c>
      <c r="D23" s="46">
        <f>IF(B23="","",C23+(B23/1440))</f>
        <v/>
      </c>
      <c r="E23" s="50" t="inlineStr">
        <is>
          <t>Spelen met effecten</t>
        </is>
      </c>
      <c r="F23" s="62" t="inlineStr">
        <is>
          <t>4.4</t>
        </is>
      </c>
      <c r="G23" s="96" t="inlineStr">
        <is>
          <t>Med
Eye level</t>
        </is>
      </c>
      <c r="H23" s="50" t="inlineStr">
        <is>
          <t>Statief</t>
        </is>
      </c>
      <c r="I23" s="50" t="inlineStr">
        <is>
          <t>Ronde plaat: staat</t>
        </is>
      </c>
      <c r="J23" s="50" t="n"/>
      <c r="K23" s="50" t="inlineStr">
        <is>
          <t>Leonor staat voor de ronde plaat. 
we schieten haar nu en profil aan.</t>
        </is>
      </c>
      <c r="L23" s="52" t="inlineStr">
        <is>
          <t>Leonor</t>
        </is>
      </c>
      <c r="M23" s="1" t="n"/>
    </row>
    <row r="24" s="109">
      <c r="A24" s="1" t="n"/>
      <c r="B24" s="39" t="n">
        <v>0</v>
      </c>
      <c r="C24" s="40">
        <f>IF(B24="","",D23)</f>
        <v/>
      </c>
      <c r="D24" s="40">
        <f>IF(B24="","",C24+(B24/1440))</f>
        <v/>
      </c>
      <c r="E24" s="43" t="inlineStr">
        <is>
          <t>Scène 2
INT. STUDIO
De bol</t>
        </is>
      </c>
      <c r="F24" s="95" t="n"/>
      <c r="G24" s="43" t="inlineStr">
        <is>
          <t>15:30-16:00</t>
        </is>
      </c>
      <c r="H24" s="43" t="n"/>
      <c r="I24" s="43" t="n"/>
      <c r="J24" s="43" t="n"/>
      <c r="K24" s="43" t="n"/>
      <c r="L24" s="54" t="n"/>
      <c r="M24" s="1" t="n"/>
    </row>
    <row r="25" s="109">
      <c r="A25" s="1" t="n"/>
      <c r="B25" s="55" t="n">
        <v>10</v>
      </c>
      <c r="C25" s="56">
        <f>IF(B25="","",D24)</f>
        <v/>
      </c>
      <c r="D25" s="56">
        <f>IF(B25="","",C25+(B25/1440))</f>
        <v/>
      </c>
      <c r="E25" s="75" t="inlineStr">
        <is>
          <t>Ombouw: ballon erin voor de bol</t>
        </is>
      </c>
      <c r="F25" s="58" t="n"/>
      <c r="G25" s="59" t="n"/>
      <c r="H25" s="60" t="n"/>
      <c r="I25" s="60" t="n"/>
      <c r="J25" s="60" t="n"/>
      <c r="K25" s="60" t="n"/>
      <c r="L25" s="61" t="n"/>
      <c r="M25" s="1" t="n"/>
    </row>
    <row r="26" s="109">
      <c r="A26" s="1" t="n"/>
      <c r="B26" s="45" t="n">
        <v>10</v>
      </c>
      <c r="C26" s="46">
        <f>IF(B26="","",D25)</f>
        <v/>
      </c>
      <c r="D26" s="46">
        <f>IF(B26="","",C26+(B26/1440))</f>
        <v/>
      </c>
      <c r="E26" s="50" t="inlineStr">
        <is>
          <t>Spellen met effecten en filters</t>
        </is>
      </c>
      <c r="F26" s="62" t="inlineStr">
        <is>
          <t>2.8</t>
        </is>
      </c>
      <c r="G26" s="96" t="inlineStr">
        <is>
          <t>Tot -&gt; Med close
Eye level</t>
        </is>
      </c>
      <c r="H26" s="50" t="inlineStr">
        <is>
          <t>Steadicam</t>
        </is>
      </c>
      <c r="I26" s="50" t="inlineStr">
        <is>
          <t>Ballon</t>
        </is>
      </c>
      <c r="J26" s="50" t="n"/>
      <c r="K26" s="50" t="inlineStr">
        <is>
          <t>We rijden in op de bol Steadicam, licht wordt feller en 'warmte effect wordt groter</t>
        </is>
      </c>
      <c r="L26" s="52" t="inlineStr">
        <is>
          <t>geen acteurs</t>
        </is>
      </c>
      <c r="M26" s="1" t="n"/>
    </row>
    <row r="27" s="109">
      <c r="A27" s="1" t="n"/>
      <c r="B27" s="76" t="n">
        <v>10</v>
      </c>
      <c r="C27" s="77">
        <f>IF(B27="","",D26)</f>
        <v/>
      </c>
      <c r="D27" s="77">
        <f>IF(B27="","",C27+(B27/1440))</f>
        <v/>
      </c>
      <c r="E27" s="81" t="inlineStr">
        <is>
          <t>Spellen met effecten en filters</t>
        </is>
      </c>
      <c r="F27" s="79" t="inlineStr">
        <is>
          <t>2.9</t>
        </is>
      </c>
      <c r="G27" s="80" t="inlineStr">
        <is>
          <t>Med - close
Eye level</t>
        </is>
      </c>
      <c r="H27" s="81" t="inlineStr">
        <is>
          <t>Steadicam</t>
        </is>
      </c>
      <c r="I27" s="81" t="inlineStr">
        <is>
          <t>Ballon</t>
        </is>
      </c>
      <c r="J27" s="81" t="n"/>
      <c r="K27" s="81" t="inlineStr">
        <is>
          <t>We rijden langs de ballon, snelle shots.</t>
        </is>
      </c>
      <c r="L27" s="82" t="inlineStr">
        <is>
          <t>geen acteurs</t>
        </is>
      </c>
      <c r="M27" s="1" t="n"/>
    </row>
    <row r="28" ht="15" customHeight="1" s="109">
      <c r="A28" s="1" t="n"/>
      <c r="B28" s="63" t="n">
        <v>45</v>
      </c>
      <c r="C28" s="64">
        <f>IF(B28="","",D27)</f>
        <v/>
      </c>
      <c r="D28" s="64">
        <f>IF(B28="","",C28+(B28/1440))</f>
        <v/>
      </c>
      <c r="E28" s="65" t="inlineStr">
        <is>
          <t>LUNCH</t>
        </is>
      </c>
      <c r="F28" s="66" t="n"/>
      <c r="G28" s="65" t="n"/>
      <c r="H28" s="65" t="n"/>
      <c r="I28" s="65" t="n"/>
      <c r="J28" s="65" t="n"/>
      <c r="K28" s="65" t="n"/>
      <c r="L28" s="67" t="n"/>
      <c r="M28" s="1" t="n"/>
    </row>
    <row r="29" s="109">
      <c r="A29" s="1" t="n"/>
      <c r="B29" s="39" t="n">
        <v>0</v>
      </c>
      <c r="C29" s="40">
        <f>IF(B29="","",D28)</f>
        <v/>
      </c>
      <c r="D29" s="40">
        <f>IF(B29="","",C29+(B29/1440))</f>
        <v/>
      </c>
      <c r="E29" s="43" t="inlineStr">
        <is>
          <t>Scène 5
INT. STUDIO 
Dans samen</t>
        </is>
      </c>
      <c r="F29" s="95" t="n"/>
      <c r="G29" s="43" t="n"/>
      <c r="H29" s="43" t="inlineStr">
        <is>
          <t>16:45-17:45</t>
        </is>
      </c>
      <c r="I29" s="43" t="n"/>
      <c r="J29" s="43" t="n"/>
      <c r="K29" s="43" t="n"/>
      <c r="L29" s="54" t="n"/>
      <c r="M29" s="1" t="n"/>
    </row>
    <row r="30" s="109">
      <c r="A30" s="1" t="n"/>
      <c r="B30" s="45" t="n">
        <v>30</v>
      </c>
      <c r="C30" s="46">
        <f>IF(B30="","",D29)</f>
        <v/>
      </c>
      <c r="D30" s="46">
        <f>IF(B30="","",C30+(B30/1440))</f>
        <v/>
      </c>
      <c r="E30" s="50" t="inlineStr">
        <is>
          <t>Effect: Licht straal schijnt op hem.</t>
        </is>
      </c>
      <c r="F30" s="62" t="inlineStr">
        <is>
          <t>5.7</t>
        </is>
      </c>
      <c r="G30" s="96" t="inlineStr">
        <is>
          <t>wijd
Top - op blok</t>
        </is>
      </c>
      <c r="H30" s="50" t="inlineStr">
        <is>
          <t>Steadicam</t>
        </is>
      </c>
      <c r="I30" s="50" t="n"/>
      <c r="J30" s="50" t="n"/>
      <c r="K30" s="50" t="inlineStr">
        <is>
          <t>De twee dansers staan heel intens met elkaar te dansen.</t>
        </is>
      </c>
      <c r="L30" s="52" t="inlineStr">
        <is>
          <t>Moussa en Leonor</t>
        </is>
      </c>
      <c r="M30" s="1" t="n"/>
    </row>
    <row r="31" s="109">
      <c r="A31" s="1" t="n"/>
      <c r="B31" s="45" t="n">
        <v>30</v>
      </c>
      <c r="C31" s="46">
        <f>IF(B31="","",D30)</f>
        <v/>
      </c>
      <c r="D31" s="46">
        <f>IF(B31="","",C31+(B31/1440))</f>
        <v/>
      </c>
      <c r="E31" s="50" t="n"/>
      <c r="F31" s="62" t="inlineStr">
        <is>
          <t>5.8</t>
        </is>
      </c>
      <c r="G31" s="96" t="inlineStr">
        <is>
          <t>Close
Eye level</t>
        </is>
      </c>
      <c r="H31" s="50" t="inlineStr">
        <is>
          <t>Steadicam
Lang</t>
        </is>
      </c>
      <c r="I31" s="50" t="n"/>
      <c r="J31" s="50" t="n"/>
      <c r="K31" s="50" t="inlineStr">
        <is>
          <t>De twee dansers staan heel intens met elkaar te dansen.</t>
        </is>
      </c>
      <c r="L31" s="52" t="inlineStr">
        <is>
          <t>Moussa en Leonor</t>
        </is>
      </c>
      <c r="M31" s="1" t="n"/>
    </row>
    <row r="32" ht="15" customHeight="1" s="109">
      <c r="A32" s="1" t="n"/>
      <c r="B32" s="68" t="n">
        <v>0</v>
      </c>
      <c r="C32" s="69">
        <f>IF(B32="","",D31)</f>
        <v/>
      </c>
      <c r="D32" s="69">
        <f>IF(B32="","",C32+(B32/1440))</f>
        <v/>
      </c>
      <c r="E32" s="70" t="inlineStr">
        <is>
          <t>Est. wrap Leonor</t>
        </is>
      </c>
      <c r="F32" s="71" t="n"/>
      <c r="G32" s="72" t="n"/>
      <c r="H32" s="73" t="n"/>
      <c r="I32" s="73" t="n"/>
      <c r="J32" s="73" t="n"/>
      <c r="K32" s="73" t="n"/>
      <c r="L32" s="74" t="n"/>
      <c r="M32" s="1" t="n"/>
    </row>
    <row r="33" s="109">
      <c r="A33" s="1" t="n"/>
      <c r="B33" s="39" t="n">
        <v>0</v>
      </c>
      <c r="C33" s="40">
        <f>IF(B33="","",D32)</f>
        <v/>
      </c>
      <c r="D33" s="40">
        <f>IF(B33="","",C33+(B33/1440))</f>
        <v/>
      </c>
      <c r="E33" s="43" t="inlineStr">
        <is>
          <t xml:space="preserve">Scène 2
INT. STUDIO, DE RONDE PLAAT
Dans </t>
        </is>
      </c>
      <c r="F33" s="95" t="n"/>
      <c r="G33" s="95" t="n"/>
      <c r="H33" s="95" t="inlineStr">
        <is>
          <t>17:45-20:00</t>
        </is>
      </c>
      <c r="I33" s="95" t="n"/>
      <c r="J33" s="95" t="n"/>
      <c r="K33" s="43" t="n"/>
      <c r="L33" s="44" t="n"/>
      <c r="M33" s="1" t="n"/>
    </row>
    <row r="34" s="109">
      <c r="A34" s="1" t="n"/>
      <c r="B34" s="45" t="n">
        <v>30</v>
      </c>
      <c r="C34" s="46">
        <f>IF(B34="","",D33)</f>
        <v/>
      </c>
      <c r="D34" s="46">
        <f>IF(B34="","",C34+(B34/1440))</f>
        <v/>
      </c>
      <c r="E34" s="50" t="inlineStr">
        <is>
          <t>Effect: take met glijmiddel
Note: ook andere lichtinstelling
VFX: Kilian foto sturen</t>
        </is>
      </c>
      <c r="F34" s="48" t="inlineStr">
        <is>
          <t>2.1</t>
        </is>
      </c>
      <c r="G34" s="96" t="inlineStr">
        <is>
          <t>Wijd
Low</t>
        </is>
      </c>
      <c r="H34" s="50" t="inlineStr">
        <is>
          <t>Steadicam</t>
        </is>
      </c>
      <c r="I34" s="50" t="inlineStr">
        <is>
          <t>Ronde plaat: ligt</t>
        </is>
      </c>
      <c r="J34" s="53" t="inlineStr">
        <is>
          <t>Statief met tennisbal</t>
        </is>
      </c>
      <c r="K34" s="50" t="inlineStr">
        <is>
          <t>We lopen heel rustig op moussa af, 
camera beweegt laag over de vloer. 
Moussa zit op de Ronde plaat</t>
        </is>
      </c>
      <c r="L34" s="52" t="inlineStr">
        <is>
          <t>Moussa</t>
        </is>
      </c>
      <c r="M34" s="1" t="n"/>
    </row>
    <row r="35" s="109">
      <c r="A35" s="1" t="n"/>
      <c r="B35" s="45" t="n">
        <v>25</v>
      </c>
      <c r="C35" s="46">
        <f>IF(B35="","",D34)</f>
        <v/>
      </c>
      <c r="D35" s="46">
        <f>IF(B35="","",C35+(B35/1440))</f>
        <v/>
      </c>
      <c r="E35" s="50" t="inlineStr">
        <is>
          <t>Effect: take met glijmiddel
Note: ook andere lichtinstelling
VFX: Kilian foto sturen</t>
        </is>
      </c>
      <c r="F35" s="48" t="inlineStr">
        <is>
          <t>2.2</t>
        </is>
      </c>
      <c r="G35" s="96" t="inlineStr">
        <is>
          <t>Med
Low</t>
        </is>
      </c>
      <c r="H35" s="50" t="inlineStr">
        <is>
          <t>Steadicam</t>
        </is>
      </c>
      <c r="I35" s="50" t="inlineStr">
        <is>
          <t>Ronde plaat: ligt</t>
        </is>
      </c>
      <c r="J35" s="53" t="inlineStr">
        <is>
          <t>Statief met tennisbal</t>
        </is>
      </c>
      <c r="K35" s="50" t="n"/>
      <c r="L35" s="52" t="inlineStr">
        <is>
          <t>Moussa</t>
        </is>
      </c>
      <c r="M35" s="1" t="n"/>
    </row>
    <row r="36" s="109">
      <c r="A36" s="1" t="n"/>
      <c r="B36" s="45" t="n">
        <v>25</v>
      </c>
      <c r="C36" s="46">
        <f>IF(B36="","",D35)</f>
        <v/>
      </c>
      <c r="D36" s="46">
        <f>IF(B36="","",C36+(B36/1440))</f>
        <v/>
      </c>
      <c r="E36" s="50" t="inlineStr">
        <is>
          <t>Note: ook andere lichtinstelling
VFX: Kilian foto sturen</t>
        </is>
      </c>
      <c r="F36" s="48" t="inlineStr">
        <is>
          <t>2.3</t>
        </is>
      </c>
      <c r="G36" s="96" t="inlineStr">
        <is>
          <t>Close
Low</t>
        </is>
      </c>
      <c r="H36" s="50" t="inlineStr">
        <is>
          <t>Steadicam</t>
        </is>
      </c>
      <c r="I36" s="50" t="inlineStr">
        <is>
          <t>Ronde plaat: ligt</t>
        </is>
      </c>
      <c r="J36" s="53" t="inlineStr">
        <is>
          <t>Statief met tennisbal</t>
        </is>
      </c>
      <c r="K36" s="50" t="inlineStr">
        <is>
          <t>Shots op: handen, voeten, gezicht, rug en haar</t>
        </is>
      </c>
      <c r="L36" s="52" t="inlineStr">
        <is>
          <t>Moussa</t>
        </is>
      </c>
      <c r="M36" s="1" t="n"/>
    </row>
    <row r="37" s="109">
      <c r="A37" s="1" t="n"/>
      <c r="B37" s="45" t="n">
        <v>30</v>
      </c>
      <c r="C37" s="46">
        <f>IF(B37="","",D36)</f>
        <v/>
      </c>
      <c r="D37" s="46">
        <f>IF(B37="","",C37+(B37/1440))</f>
        <v/>
      </c>
      <c r="E37" s="50" t="n"/>
      <c r="F37" s="48" t="inlineStr">
        <is>
          <t>2.4</t>
        </is>
      </c>
      <c r="G37" s="96" t="inlineStr">
        <is>
          <t>wijd
Eye - level</t>
        </is>
      </c>
      <c r="H37" s="50" t="inlineStr">
        <is>
          <t>Steadicam</t>
        </is>
      </c>
      <c r="I37" s="50" t="inlineStr">
        <is>
          <t>Ronde plaat: ligt</t>
        </is>
      </c>
      <c r="J37" s="50" t="n"/>
      <c r="K37" s="50" t="inlineStr">
        <is>
          <t>Totaal, rijden in op moussa die 
opstaat en op dat moment komt 
langzaam het licht op hem.</t>
        </is>
      </c>
      <c r="L37" s="52" t="inlineStr">
        <is>
          <t>Moussa</t>
        </is>
      </c>
      <c r="M37" s="1" t="n"/>
    </row>
    <row r="38" s="109">
      <c r="A38" s="1" t="n"/>
      <c r="B38" s="45" t="n">
        <v>25</v>
      </c>
      <c r="C38" s="46">
        <f>IF(B38="","",D37)</f>
        <v/>
      </c>
      <c r="D38" s="46">
        <f>IF(B38="","",C38+(B38/1440))</f>
        <v/>
      </c>
      <c r="E38" s="50" t="inlineStr">
        <is>
          <t>Effect: Lamp op/bij de camera</t>
        </is>
      </c>
      <c r="F38" s="48" t="inlineStr">
        <is>
          <t>2.7</t>
        </is>
      </c>
      <c r="G38" s="96" t="inlineStr">
        <is>
          <t>med
Eye - level</t>
        </is>
      </c>
      <c r="H38" s="50" t="inlineStr">
        <is>
          <t>Steadicam</t>
        </is>
      </c>
      <c r="I38" s="50" t="inlineStr">
        <is>
          <t>Ronde plaat: ligt</t>
        </is>
      </c>
      <c r="J38" s="50" t="n"/>
      <c r="K38" s="50" t="inlineStr">
        <is>
          <t>We draaien om Moussa heen.</t>
        </is>
      </c>
      <c r="L38" s="52" t="inlineStr">
        <is>
          <t>Moussa</t>
        </is>
      </c>
      <c r="M38" s="1" t="n"/>
    </row>
    <row r="39" s="109">
      <c r="A39" s="1" t="n"/>
      <c r="B39" s="39" t="n">
        <v>0</v>
      </c>
      <c r="C39" s="40">
        <f>IF(B39="","",D38)</f>
        <v/>
      </c>
      <c r="D39" s="40">
        <f>IF(B39="","",C39+(B39/1440))</f>
        <v/>
      </c>
      <c r="E39" s="43" t="inlineStr">
        <is>
          <t>Scène 2
INT. STUDIO
De bol</t>
        </is>
      </c>
      <c r="F39" s="95" t="n"/>
      <c r="G39" s="43" t="n"/>
      <c r="H39" s="43" t="inlineStr">
        <is>
          <t>20:00-21:30</t>
        </is>
      </c>
      <c r="I39" s="43" t="n"/>
      <c r="J39" s="43" t="n"/>
      <c r="K39" s="43" t="n"/>
      <c r="L39" s="54" t="n"/>
      <c r="M39" s="1" t="n"/>
    </row>
    <row r="40" s="109">
      <c r="A40" s="1" t="n"/>
      <c r="B40" s="55" t="n">
        <v>10</v>
      </c>
      <c r="C40" s="56">
        <f>IF(B40="","",D39)</f>
        <v/>
      </c>
      <c r="D40" s="56">
        <f>IF(B40="","",C40+(B40/1440))</f>
        <v/>
      </c>
      <c r="E40" s="75" t="inlineStr">
        <is>
          <t>Ombouw: ronde plaat eruit, 
ballon erin</t>
        </is>
      </c>
      <c r="F40" s="58" t="n"/>
      <c r="G40" s="59" t="n"/>
      <c r="H40" s="60" t="n"/>
      <c r="I40" s="60" t="n"/>
      <c r="J40" s="60" t="n"/>
      <c r="K40" s="60" t="n"/>
      <c r="L40" s="61" t="n"/>
      <c r="M40" s="1" t="n"/>
    </row>
    <row r="41" s="109">
      <c r="A41" s="1" t="n"/>
      <c r="B41" s="45" t="n">
        <v>30</v>
      </c>
      <c r="C41" s="46">
        <f>IF(B41="","",D40)</f>
        <v/>
      </c>
      <c r="D41" s="46">
        <f>IF(B41="","",C41+(B41/1440))</f>
        <v/>
      </c>
      <c r="E41" s="50" t="inlineStr">
        <is>
          <t>Effect: Weinig scherpte diepte 
zodat we de ballon vaag zien</t>
        </is>
      </c>
      <c r="F41" s="62" t="inlineStr">
        <is>
          <t>2.5</t>
        </is>
      </c>
      <c r="G41" s="96" t="inlineStr">
        <is>
          <t>med-close
Eye - level</t>
        </is>
      </c>
      <c r="H41" s="50" t="inlineStr">
        <is>
          <t>Steadicam</t>
        </is>
      </c>
      <c r="I41" s="50" t="inlineStr">
        <is>
          <t>Ballon</t>
        </is>
      </c>
      <c r="J41" s="50" t="n"/>
      <c r="K41" s="50" t="inlineStr">
        <is>
          <t>We rijden in op het gezicht van 
Moussa op de as, Moussa draait weg 
van het licht en probeert weg te 
komen. Camera draait met hem mee.</t>
        </is>
      </c>
      <c r="L41" s="52" t="inlineStr">
        <is>
          <t>Moussa</t>
        </is>
      </c>
      <c r="M41" s="1" t="n"/>
    </row>
    <row r="42" s="109">
      <c r="A42" s="1" t="n"/>
      <c r="B42" s="45" t="n">
        <v>25</v>
      </c>
      <c r="C42" s="46">
        <f>IF(B42="","",D41)</f>
        <v/>
      </c>
      <c r="D42" s="46">
        <f>IF(B42="","",C42+(B42/1440))</f>
        <v/>
      </c>
      <c r="E42" s="50" t="n"/>
      <c r="F42" s="62" t="inlineStr">
        <is>
          <t>2.5B</t>
        </is>
      </c>
      <c r="G42" s="96" t="n"/>
      <c r="H42" s="50" t="inlineStr">
        <is>
          <t>Steadicam</t>
        </is>
      </c>
      <c r="I42" s="50" t="inlineStr">
        <is>
          <t>(Ballon)</t>
        </is>
      </c>
      <c r="J42" s="50" t="n"/>
      <c r="K42" s="50" t="inlineStr">
        <is>
          <t>We kijken Moussa in zijn gezicht. Hij 
draait om en probeert weg te komen 
van de bol en hij draait weg van de 
camera. Wij lopen achteruit richting 
de bol</t>
        </is>
      </c>
      <c r="L42" s="52" t="inlineStr">
        <is>
          <t>Moussa</t>
        </is>
      </c>
      <c r="M42" s="1" t="n"/>
    </row>
    <row r="43" s="109">
      <c r="A43" s="1" t="n"/>
      <c r="B43" s="45" t="n">
        <v>25</v>
      </c>
      <c r="C43" s="46">
        <f>IF(B43="","",D42)</f>
        <v/>
      </c>
      <c r="D43" s="46">
        <f>IF(B43="","",C43+(B43/1440))</f>
        <v/>
      </c>
      <c r="E43" s="50" t="inlineStr">
        <is>
          <t>VFX: Kilian foto sturen</t>
        </is>
      </c>
      <c r="F43" s="62" t="inlineStr">
        <is>
          <t>2.6</t>
        </is>
      </c>
      <c r="G43" s="96" t="inlineStr">
        <is>
          <t>tot
Eye - level</t>
        </is>
      </c>
      <c r="H43" s="50" t="inlineStr">
        <is>
          <t>Steadicam</t>
        </is>
      </c>
      <c r="I43" s="50" t="inlineStr">
        <is>
          <t>Ballon</t>
        </is>
      </c>
      <c r="J43" s="53" t="inlineStr">
        <is>
          <t>Statief met tennisbal</t>
        </is>
      </c>
      <c r="K43" s="50" t="inlineStr">
        <is>
          <t>Moussa links, Bol rechts ze komen 
dichterbij elkaar we rijden met een 
dutch angle in op de twee</t>
        </is>
      </c>
      <c r="L43" s="52" t="inlineStr">
        <is>
          <t>Moussa</t>
        </is>
      </c>
      <c r="M43" s="1" t="n"/>
    </row>
    <row r="44" s="109">
      <c r="A44" s="1" t="n"/>
      <c r="B44" s="39" t="n">
        <v>0</v>
      </c>
      <c r="C44" s="40">
        <f>IF(B44="","",D43)</f>
        <v/>
      </c>
      <c r="D44" s="40">
        <f>IF(B44="","",C44+(B44/1440))</f>
        <v/>
      </c>
      <c r="E44" s="43" t="inlineStr">
        <is>
          <t>Scène 4
INT. STUDIO
Moussa</t>
        </is>
      </c>
      <c r="F44" s="95" t="n"/>
      <c r="G44" s="43" t="n"/>
      <c r="H44" s="43" t="inlineStr">
        <is>
          <t>21:30-22:50</t>
        </is>
      </c>
      <c r="I44" s="43" t="n"/>
      <c r="J44" s="43" t="n"/>
      <c r="K44" s="43" t="n"/>
      <c r="L44" s="54" t="n"/>
      <c r="M44" s="1" t="n"/>
    </row>
    <row r="45" s="109">
      <c r="A45" s="1" t="n"/>
      <c r="B45" s="55" t="n">
        <v>10</v>
      </c>
      <c r="C45" s="56">
        <f>IF(B45="","",D44)</f>
        <v/>
      </c>
      <c r="D45" s="56">
        <f>IF(B45="","",C45+(B45/1440))</f>
        <v/>
      </c>
      <c r="E45" s="75" t="inlineStr">
        <is>
          <t xml:space="preserve">Ombouw: ballon eruit </t>
        </is>
      </c>
      <c r="F45" s="58" t="n"/>
      <c r="G45" s="59" t="n"/>
      <c r="H45" s="60" t="n"/>
      <c r="I45" s="60" t="n"/>
      <c r="J45" s="60" t="n"/>
      <c r="K45" s="60" t="n"/>
      <c r="L45" s="61" t="n"/>
      <c r="M45" s="1" t="n"/>
    </row>
    <row r="46" s="109">
      <c r="A46" s="1" t="n"/>
      <c r="B46" s="45" t="n">
        <v>35</v>
      </c>
      <c r="C46" s="46">
        <f>IF(B46="","",D45)</f>
        <v/>
      </c>
      <c r="D46" s="46">
        <f>IF(B46="","",C46+(B46/1440))</f>
        <v/>
      </c>
      <c r="E46" s="50" t="n"/>
      <c r="F46" s="62" t="inlineStr">
        <is>
          <t>4.7</t>
        </is>
      </c>
      <c r="G46" s="96" t="inlineStr">
        <is>
          <t>Tot med
Eye level -&gt; Vogel</t>
        </is>
      </c>
      <c r="H46" s="50" t="inlineStr">
        <is>
          <t>Steadicam</t>
        </is>
      </c>
      <c r="I46" s="50" t="inlineStr">
        <is>
          <t>Ballon</t>
        </is>
      </c>
      <c r="J46" s="50" t="n"/>
      <c r="K46" s="50" t="inlineStr">
        <is>
          <t>Moussa aanschouwt wat er voor hem 
gebeurd. Het licht is fel waardoor hij 
nauwlijks kan zien wat er gebeurd. 
Uiteindelijk stijgt Leonor op en we 
zien het licht hoger op zijn gezicht 
vallen.</t>
        </is>
      </c>
      <c r="L46" s="52" t="inlineStr">
        <is>
          <t>Moussa</t>
        </is>
      </c>
      <c r="M46" s="1" t="n"/>
    </row>
    <row r="47" s="109">
      <c r="A47" s="1" t="n"/>
      <c r="B47" s="45" t="n">
        <v>35</v>
      </c>
      <c r="C47" s="46">
        <f>IF(B47="","",D46)</f>
        <v/>
      </c>
      <c r="D47" s="46">
        <f>IF(B47="","",C47+(B47/1440))</f>
        <v/>
      </c>
      <c r="E47" s="50" t="n"/>
      <c r="F47" s="62" t="inlineStr">
        <is>
          <t>4.8</t>
        </is>
      </c>
      <c r="G47" s="96" t="inlineStr">
        <is>
          <t>Med close
Eye level -&gt; Vogel</t>
        </is>
      </c>
      <c r="H47" s="50" t="inlineStr">
        <is>
          <t>Steadicam</t>
        </is>
      </c>
      <c r="I47" s="50" t="inlineStr">
        <is>
          <t>Ballon</t>
        </is>
      </c>
      <c r="J47" s="50" t="n"/>
      <c r="K47" s="50" t="inlineStr">
        <is>
          <t>Moussa aanschouwt wat er voor hem 
gebeurd. Het licht is fel waardoor hij 
nauwlijks kan zien wat er gebeurd. 
Uiteindelijk stijgt Leonor op en we 
zien het licht hoger op zijn gezicht 
vallen.</t>
        </is>
      </c>
      <c r="L47" s="52" t="inlineStr">
        <is>
          <t>Moussa</t>
        </is>
      </c>
      <c r="M47" s="1" t="n"/>
    </row>
    <row r="48" ht="15" customHeight="1" s="109">
      <c r="A48" s="1" t="n"/>
      <c r="B48" s="68" t="n">
        <v>0</v>
      </c>
      <c r="C48" s="69">
        <f>IF(B48="","",D47)</f>
        <v/>
      </c>
      <c r="D48" s="69">
        <f>IF(B48="","",C48+(B48/1440))</f>
        <v/>
      </c>
      <c r="E48" s="70" t="inlineStr">
        <is>
          <t>Est. wrap Moussa</t>
        </is>
      </c>
      <c r="F48" s="71" t="n"/>
      <c r="G48" s="72" t="n"/>
      <c r="H48" s="73" t="n"/>
      <c r="I48" s="73" t="n"/>
      <c r="J48" s="73" t="n"/>
      <c r="K48" s="73" t="n"/>
      <c r="L48" s="74" t="n"/>
      <c r="M48" s="1" t="n"/>
    </row>
    <row r="49" ht="15" customHeight="1" s="109">
      <c r="A49" s="1" t="n"/>
      <c r="B49" s="83" t="n">
        <v>0</v>
      </c>
      <c r="C49" s="84">
        <f>IF(B49="","",D48)</f>
        <v/>
      </c>
      <c r="D49" s="84">
        <f>IF(B49="","",C49+(B49/1440))</f>
        <v/>
      </c>
      <c r="E49" s="85" t="inlineStr">
        <is>
          <t>WRAP</t>
        </is>
      </c>
      <c r="F49" s="86" t="n"/>
      <c r="G49" s="86" t="n"/>
      <c r="H49" s="86" t="n"/>
      <c r="I49" s="86" t="n"/>
      <c r="J49" s="86" t="n"/>
      <c r="K49" s="87" t="n"/>
      <c r="L49" s="88" t="n"/>
      <c r="M49" s="1" t="n"/>
    </row>
    <row r="50" ht="15" customHeight="1" s="109">
      <c r="A50" s="1" t="n"/>
      <c r="B50" s="89" t="inlineStr">
        <is>
          <t>WRAP</t>
        </is>
      </c>
      <c r="C50" s="90" t="n"/>
      <c r="D50" s="90" t="n"/>
      <c r="E50" s="91" t="inlineStr">
        <is>
          <t>WRAP</t>
        </is>
      </c>
      <c r="F50" s="90" t="n"/>
      <c r="G50" s="90" t="n"/>
      <c r="H50" s="90" t="inlineStr">
        <is>
          <t>WRAP</t>
        </is>
      </c>
      <c r="I50" s="90" t="n"/>
      <c r="J50" s="90" t="n"/>
      <c r="K50" s="91" t="inlineStr">
        <is>
          <t>WRAP</t>
        </is>
      </c>
      <c r="L50" s="92" t="n"/>
      <c r="M50" s="1" t="n"/>
    </row>
    <row r="51" ht="10.5" customHeight="1" s="109">
      <c r="A51" s="1" t="n"/>
      <c r="B51" s="1" t="n"/>
      <c r="C51" s="1" t="n"/>
      <c r="D51" s="1" t="n"/>
      <c r="E51" s="1" t="n"/>
      <c r="F51" s="1" t="n"/>
      <c r="G51" s="1" t="n"/>
      <c r="H51" s="1" t="n"/>
      <c r="I51" s="1" t="n"/>
      <c r="J51" s="1" t="n"/>
      <c r="K51" s="1" t="n"/>
      <c r="L51" s="1" t="n"/>
      <c r="M51" s="1" t="n"/>
    </row>
  </sheetData>
  <mergeCells count="30">
    <mergeCell ref="D2:L2"/>
    <mergeCell ref="J6:L6"/>
    <mergeCell ref="E12:L12"/>
    <mergeCell ref="B9:E9"/>
    <mergeCell ref="F9:I9"/>
    <mergeCell ref="B6:E6"/>
    <mergeCell ref="J4:L4"/>
    <mergeCell ref="B5:E5"/>
    <mergeCell ref="E14:L14"/>
    <mergeCell ref="J7:L7"/>
    <mergeCell ref="B2:C2"/>
    <mergeCell ref="B4:E4"/>
    <mergeCell ref="F4:I4"/>
    <mergeCell ref="B7:E7"/>
    <mergeCell ref="B3:E3"/>
    <mergeCell ref="E13:L13"/>
    <mergeCell ref="J3:L3"/>
    <mergeCell ref="F10:I10"/>
    <mergeCell ref="F6:I6"/>
    <mergeCell ref="E15:L15"/>
    <mergeCell ref="F7:I7"/>
    <mergeCell ref="F3:I3"/>
    <mergeCell ref="J8:L8"/>
    <mergeCell ref="F5:I5"/>
    <mergeCell ref="J5:L5"/>
    <mergeCell ref="B8:E8"/>
    <mergeCell ref="J10:L10"/>
    <mergeCell ref="F8:I8"/>
    <mergeCell ref="J9:L9"/>
    <mergeCell ref="B10:E10"/>
  </mergeCells>
  <printOptions horizontalCentered="1"/>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fitToPage="1"/>
  </sheetPr>
  <dimension ref="A1:M44"/>
  <sheetViews>
    <sheetView showGridLines="0" workbookViewId="0">
      <pane ySplit="18" topLeftCell="A19" activePane="bottomLeft" state="frozen"/>
      <selection pane="bottomLeft" activeCell="B20" sqref="B20"/>
    </sheetView>
  </sheetViews>
  <sheetFormatPr baseColWidth="8" defaultColWidth="14.43" defaultRowHeight="15" customHeight="1"/>
  <cols>
    <col width="1.57" customWidth="1" style="109" min="1" max="1"/>
    <col width="9" customWidth="1" style="109" min="2" max="2"/>
    <col width="8.43" customWidth="1" style="109" min="3" max="4"/>
    <col width="34.57" customWidth="1" style="109" min="5" max="5"/>
    <col width="5.57" customWidth="1" style="109" min="6" max="6"/>
    <col width="13.43" customWidth="1" style="109" min="7" max="7"/>
    <col width="11.29" customWidth="1" style="109" min="8" max="8"/>
    <col width="17" customWidth="1" style="109" min="9" max="9"/>
    <col width="33" customWidth="1" style="109" min="10" max="10"/>
    <col width="16" customWidth="1" style="109" min="11" max="11"/>
    <col width="1.86" customWidth="1" style="109" min="12" max="12"/>
    <col hidden="1" width="13" customWidth="1" style="109" min="13" max="13"/>
  </cols>
  <sheetData>
    <row r="1" ht="9" customHeight="1" s="109">
      <c r="A1" s="1" t="n"/>
      <c r="B1" s="1" t="n"/>
      <c r="C1" s="1" t="n"/>
      <c r="D1" s="1" t="n"/>
      <c r="E1" s="1" t="n"/>
      <c r="F1" s="1" t="n"/>
      <c r="G1" s="1" t="n"/>
      <c r="H1" s="1" t="n"/>
      <c r="I1" s="1" t="n"/>
      <c r="J1" s="1" t="n"/>
      <c r="K1" s="1" t="n"/>
      <c r="L1" s="1" t="n"/>
      <c r="M1" s="1" t="n"/>
    </row>
    <row r="2" ht="37.5" customHeight="1" s="109">
      <c r="A2" s="1" t="n"/>
      <c r="B2" s="110" t="inlineStr">
        <is>
          <t>SIIMON</t>
        </is>
      </c>
      <c r="C2" s="111" t="n"/>
      <c r="D2" s="112" t="inlineStr">
        <is>
          <t>DD#2   |   20-06-2026</t>
        </is>
      </c>
      <c r="E2" s="113" t="n"/>
      <c r="F2" s="113" t="n"/>
      <c r="G2" s="113" t="n"/>
      <c r="H2" s="113" t="n"/>
      <c r="I2" s="113" t="n"/>
      <c r="J2" s="113" t="n"/>
      <c r="K2" s="114" t="n"/>
      <c r="L2" s="1" t="n"/>
      <c r="M2" s="93" t="n">
        <v>60</v>
      </c>
    </row>
    <row r="3" ht="9.75" customHeight="1" s="109">
      <c r="A3" s="1" t="n"/>
      <c r="B3" s="115" t="inlineStr">
        <is>
          <t>REGISSEUR</t>
        </is>
      </c>
      <c r="C3" s="116" t="n"/>
      <c r="D3" s="116" t="n"/>
      <c r="E3" s="117" t="n"/>
      <c r="F3" s="118" t="inlineStr">
        <is>
          <t>CREW</t>
        </is>
      </c>
      <c r="G3" s="116" t="n"/>
      <c r="H3" s="116" t="n"/>
      <c r="I3" s="117" t="n"/>
      <c r="J3" s="119" t="inlineStr">
        <is>
          <t>SCÈNES</t>
        </is>
      </c>
      <c r="K3" s="116" t="n"/>
      <c r="L3" s="120" t="n"/>
      <c r="M3" s="93" t="n">
        <v>30</v>
      </c>
    </row>
    <row r="4" ht="15" customHeight="1" s="109">
      <c r="A4" s="1" t="n"/>
      <c r="B4" s="121" t="inlineStr">
        <is>
          <t>Julius Timmer</t>
        </is>
      </c>
      <c r="C4" s="116" t="n"/>
      <c r="D4" s="116" t="n"/>
      <c r="E4" s="117" t="n"/>
      <c r="F4" s="122">
        <f>$B$16-$M$2/1440</f>
        <v/>
      </c>
      <c r="G4" s="116" t="n"/>
      <c r="H4" s="116" t="n"/>
      <c r="I4" s="117" t="n"/>
      <c r="J4" s="123" t="inlineStr">
        <is>
          <t>4, 5, 6</t>
        </is>
      </c>
      <c r="K4" s="116" t="n"/>
      <c r="L4" s="120" t="n"/>
      <c r="M4" s="93" t="n">
        <v>15</v>
      </c>
    </row>
    <row r="5" ht="9.75" customHeight="1" s="109">
      <c r="A5" s="1" t="n"/>
      <c r="B5" s="115" t="inlineStr">
        <is>
          <t>D.O.P.</t>
        </is>
      </c>
      <c r="C5" s="116" t="n"/>
      <c r="D5" s="116" t="n"/>
      <c r="E5" s="117" t="n"/>
      <c r="F5" s="118" t="inlineStr">
        <is>
          <t>SHOOT</t>
        </is>
      </c>
      <c r="G5" s="116" t="n"/>
      <c r="H5" s="116" t="n"/>
      <c r="I5" s="117" t="n"/>
      <c r="J5" s="119" t="inlineStr">
        <is>
          <t>CAST</t>
        </is>
      </c>
      <c r="K5" s="116" t="n"/>
      <c r="L5" s="120" t="n"/>
    </row>
    <row r="6" ht="15" customHeight="1" s="109">
      <c r="A6" s="1" t="n"/>
      <c r="B6" s="121" t="inlineStr">
        <is>
          <t>Maarten Brom</t>
        </is>
      </c>
      <c r="C6" s="116" t="n"/>
      <c r="D6" s="116" t="n"/>
      <c r="E6" s="117" t="n"/>
      <c r="F6" s="122">
        <f>$B$16</f>
        <v/>
      </c>
      <c r="G6" s="116" t="n"/>
      <c r="H6" s="116" t="n"/>
      <c r="I6" s="117" t="n"/>
      <c r="J6" s="123" t="inlineStr">
        <is>
          <t>Moussa, Leonor</t>
        </is>
      </c>
      <c r="K6" s="116" t="n"/>
      <c r="L6" s="120" t="n"/>
      <c r="M6" s="94">
        <f t="array" ref="M6">IFERROR(MIN(IF(ISNUMBER(SEARCH("Moussa",K19:K43)),C19:C43,"")),"")</f>
        <v/>
      </c>
    </row>
    <row r="7" ht="9.75" customHeight="1" s="109">
      <c r="A7" s="1" t="n"/>
      <c r="B7" s="115" t="inlineStr">
        <is>
          <t>FIRST AD</t>
        </is>
      </c>
      <c r="C7" s="116" t="n"/>
      <c r="D7" s="116" t="n"/>
      <c r="E7" s="117" t="n"/>
      <c r="F7" s="118" t="inlineStr">
        <is>
          <t>LUNCH</t>
        </is>
      </c>
      <c r="G7" s="116" t="n"/>
      <c r="H7" s="116" t="n"/>
      <c r="I7" s="117" t="n"/>
      <c r="J7" s="119" t="inlineStr">
        <is>
          <t>LOCATIE</t>
        </is>
      </c>
      <c r="K7" s="116" t="n"/>
      <c r="L7" s="120" t="n"/>
      <c r="M7" s="94">
        <f t="array" ref="M7">IFERROR(MIN(IF(ISNUMBER(SEARCH("Leonor",K19:K43)),C19:C43,"")),"")</f>
        <v/>
      </c>
    </row>
    <row r="8" ht="15" customHeight="1" s="109">
      <c r="A8" s="1" t="n"/>
      <c r="B8" s="121" t="inlineStr">
        <is>
          <t>Yassin van Veenendaal</t>
        </is>
      </c>
      <c r="C8" s="116" t="n"/>
      <c r="D8" s="116" t="n"/>
      <c r="E8" s="117" t="n"/>
      <c r="F8" s="122">
        <f>IFERROR(C28,"")</f>
        <v/>
      </c>
      <c r="G8" s="116" t="n"/>
      <c r="H8" s="116" t="n"/>
      <c r="I8" s="117" t="n"/>
      <c r="J8" s="123" t="inlineStr">
        <is>
          <t>Stuntbase</t>
        </is>
      </c>
      <c r="K8" s="116" t="n"/>
      <c r="L8" s="120" t="n"/>
    </row>
    <row r="9" ht="9.75" customHeight="1" s="109">
      <c r="A9" s="1" t="n"/>
      <c r="B9" s="115" t="inlineStr">
        <is>
          <t>ADRES</t>
        </is>
      </c>
      <c r="C9" s="116" t="n"/>
      <c r="D9" s="116" t="n"/>
      <c r="E9" s="117" t="n"/>
      <c r="F9" s="124" t="inlineStr">
        <is>
          <t>WRAP</t>
        </is>
      </c>
      <c r="G9" s="116" t="n"/>
      <c r="H9" s="116" t="n"/>
      <c r="I9" s="117" t="n"/>
      <c r="J9" s="125" t="inlineStr">
        <is>
          <t>DRAAIDAG</t>
        </is>
      </c>
      <c r="K9" s="116" t="n"/>
      <c r="L9" s="120" t="n"/>
    </row>
    <row r="10" ht="15" customHeight="1" s="109">
      <c r="A10" s="1" t="n"/>
      <c r="B10" s="121" t="inlineStr">
        <is>
          <t>Vrijheidweg 49, 1521 RP Wormerveer</t>
        </is>
      </c>
      <c r="C10" s="116" t="n"/>
      <c r="D10" s="116" t="n"/>
      <c r="E10" s="117" t="n"/>
      <c r="F10" s="122">
        <f>IFERROR(D42,"")</f>
        <v/>
      </c>
      <c r="G10" s="116" t="n"/>
      <c r="H10" s="116" t="n"/>
      <c r="I10" s="117" t="n"/>
      <c r="J10" s="122">
        <f>IFERROR(D42-($B$16-$M$2/1440),"")</f>
        <v/>
      </c>
      <c r="K10" s="116" t="n"/>
      <c r="L10" s="117" t="n"/>
    </row>
    <row r="11" ht="6.75" customHeight="1" s="109">
      <c r="A11" s="1" t="n"/>
      <c r="L11" s="1" t="n"/>
    </row>
    <row r="12" ht="15.75" customHeight="1" s="109">
      <c r="A12" s="1" t="n"/>
      <c r="B12" s="21" t="inlineStr">
        <is>
          <t>TIJD</t>
        </is>
      </c>
      <c r="C12" s="22" t="inlineStr">
        <is>
          <t>VAN</t>
        </is>
      </c>
      <c r="D12" s="22" t="inlineStr">
        <is>
          <t>TOT</t>
        </is>
      </c>
      <c r="E12" s="126" t="inlineStr">
        <is>
          <t>ACTIVITEIT</t>
        </is>
      </c>
      <c r="F12" s="113" t="n"/>
      <c r="G12" s="113" t="n"/>
      <c r="H12" s="113" t="n"/>
      <c r="I12" s="113" t="n"/>
      <c r="J12" s="113" t="n"/>
      <c r="K12" s="114" t="n"/>
      <c r="L12" s="1" t="n"/>
    </row>
    <row r="13">
      <c r="A13" s="1" t="n"/>
      <c r="B13" s="24">
        <f>$B$16-$M$2/1440</f>
        <v/>
      </c>
      <c r="C13" s="25" t="n"/>
      <c r="D13" s="25" t="n"/>
      <c r="E13" s="127" t="inlineStr">
        <is>
          <t>Crewcall</t>
        </is>
      </c>
      <c r="F13" s="116" t="n"/>
      <c r="G13" s="116" t="n"/>
      <c r="H13" s="116" t="n"/>
      <c r="I13" s="116" t="n"/>
      <c r="J13" s="116" t="n"/>
      <c r="K13" s="120" t="n"/>
      <c r="L13" s="1" t="n"/>
    </row>
    <row r="14">
      <c r="A14" s="1" t="n"/>
      <c r="B14" s="27">
        <f>$B$16-$M$2/1440</f>
        <v/>
      </c>
      <c r="C14" s="28">
        <f>$B$16-$M$2/1440</f>
        <v/>
      </c>
      <c r="D14" s="28">
        <f>$B$16</f>
        <v/>
      </c>
      <c r="E14" s="128" t="inlineStr">
        <is>
          <t>Opbouw</t>
        </is>
      </c>
      <c r="F14" s="116" t="n"/>
      <c r="G14" s="116" t="n"/>
      <c r="H14" s="116" t="n"/>
      <c r="I14" s="116" t="n"/>
      <c r="J14" s="116" t="n"/>
      <c r="K14" s="120" t="n"/>
      <c r="L14" s="1" t="n"/>
    </row>
    <row r="15">
      <c r="A15" s="1" t="n"/>
      <c r="B15" s="27">
        <f>$B$16-$M$3/1440</f>
        <v/>
      </c>
      <c r="C15" s="28">
        <f>$B$16-$M$3/1440</f>
        <v/>
      </c>
      <c r="D15" s="28">
        <f>$B$16-$M$4/1440</f>
        <v/>
      </c>
      <c r="E15" s="128" t="inlineStr">
        <is>
          <t>Cast styling / make-up</t>
        </is>
      </c>
      <c r="F15" s="116" t="n"/>
      <c r="G15" s="116" t="n"/>
      <c r="H15" s="116" t="n"/>
      <c r="I15" s="116" t="n"/>
      <c r="J15" s="116" t="n"/>
      <c r="K15" s="120" t="n"/>
      <c r="L15" s="1" t="n"/>
    </row>
    <row r="16">
      <c r="A16" s="1" t="n"/>
      <c r="B16" s="30" t="n">
        <v>0.4930555555555556</v>
      </c>
      <c r="C16" s="31" t="n"/>
      <c r="D16" s="31" t="n"/>
      <c r="E16" s="129" t="inlineStr">
        <is>
          <t>Shooting call</t>
        </is>
      </c>
      <c r="F16" s="130" t="n"/>
      <c r="G16" s="130" t="n"/>
      <c r="H16" s="130" t="n"/>
      <c r="I16" s="130" t="n"/>
      <c r="J16" s="130" t="n"/>
      <c r="K16" s="131" t="n"/>
      <c r="L16" s="1" t="n"/>
    </row>
    <row r="17" ht="7.5" customHeight="1" s="109">
      <c r="A17" s="1" t="n"/>
      <c r="L17" s="1" t="n"/>
    </row>
    <row r="18" ht="21.75" customHeight="1" s="109">
      <c r="A18" s="1" t="n"/>
      <c r="B18" s="35" t="inlineStr">
        <is>
          <t>Tijd (min)</t>
        </is>
      </c>
      <c r="C18" s="36" t="inlineStr">
        <is>
          <t>Van</t>
        </is>
      </c>
      <c r="D18" s="36" t="inlineStr">
        <is>
          <t>Tot</t>
        </is>
      </c>
      <c r="E18" s="37" t="inlineStr">
        <is>
          <t>Notes</t>
        </is>
      </c>
      <c r="F18" s="36" t="inlineStr">
        <is>
          <t>Nr</t>
        </is>
      </c>
      <c r="G18" s="36" t="inlineStr">
        <is>
          <t>Soort</t>
        </is>
      </c>
      <c r="H18" s="36" t="inlineStr">
        <is>
          <t>Grip</t>
        </is>
      </c>
      <c r="I18" s="36" t="inlineStr">
        <is>
          <t>Prop</t>
        </is>
      </c>
      <c r="J18" s="37" t="inlineStr">
        <is>
          <t>Beschrijving</t>
        </is>
      </c>
      <c r="K18" s="38" t="inlineStr">
        <is>
          <t>Acteurs</t>
        </is>
      </c>
      <c r="L18" s="1" t="n"/>
    </row>
    <row r="19">
      <c r="A19" s="1" t="n"/>
      <c r="B19" s="39" t="n">
        <v>0</v>
      </c>
      <c r="C19" s="40">
        <f>IF(B19="","",$B$16)</f>
        <v/>
      </c>
      <c r="D19" s="40">
        <f>IF(B19="","",C19+(B19/1440))</f>
        <v/>
      </c>
      <c r="E19" s="43" t="inlineStr">
        <is>
          <t>Scène 5-lucht
INT. STUDIO, DE LUCHT 
Beiden omhoog</t>
        </is>
      </c>
      <c r="F19" s="95" t="n"/>
      <c r="G19" s="95" t="inlineStr">
        <is>
          <t>11:50-14:15</t>
        </is>
      </c>
      <c r="H19" s="95" t="n"/>
      <c r="I19" s="95" t="n"/>
      <c r="J19" s="43" t="n"/>
      <c r="K19" s="44" t="n"/>
      <c r="L19" s="1" t="n"/>
    </row>
    <row r="20">
      <c r="A20" s="1" t="n"/>
      <c r="B20" s="45" t="n">
        <v>45</v>
      </c>
      <c r="C20" s="46">
        <f>IF(B20="","",D19)</f>
        <v/>
      </c>
      <c r="D20" s="46">
        <f>IF(B20="","",C20+(B20/1440))</f>
        <v/>
      </c>
      <c r="E20" s="50" t="inlineStr">
        <is>
          <t>Beide acteurs in de lucht.</t>
        </is>
      </c>
      <c r="F20" s="62" t="inlineStr">
        <is>
          <t>5.5</t>
        </is>
      </c>
      <c r="G20" s="96" t="inlineStr">
        <is>
          <t>Wijd</t>
        </is>
      </c>
      <c r="H20" s="50" t="inlineStr">
        <is>
          <t>Steadicam</t>
        </is>
      </c>
      <c r="I20" s="50" t="n"/>
      <c r="J20" s="50" t="inlineStr">
        <is>
          <t>Moussa en Leonor hangen dicht bij elkaar en draaien om 
elkaar heen</t>
        </is>
      </c>
      <c r="K20" s="52" t="inlineStr">
        <is>
          <t>Moussa en Leonor</t>
        </is>
      </c>
      <c r="L20" s="1" t="n"/>
    </row>
    <row r="21" ht="15" customHeight="1" s="109">
      <c r="A21" s="1" t="n"/>
      <c r="B21" s="55" t="n">
        <v>10</v>
      </c>
      <c r="C21" s="56">
        <f>IF(B21="","",D20)</f>
        <v/>
      </c>
      <c r="D21" s="56">
        <f>IF(B21="","",C21+(B21/1440))</f>
        <v/>
      </c>
      <c r="E21" s="75" t="inlineStr">
        <is>
          <t>Leonor omlaag (verlengen 20/30)</t>
        </is>
      </c>
      <c r="F21" s="58" t="n"/>
      <c r="G21" s="60" t="n"/>
      <c r="H21" s="60" t="n"/>
      <c r="I21" s="60" t="n"/>
      <c r="J21" s="60" t="n"/>
      <c r="K21" s="61" t="n"/>
      <c r="L21" s="1" t="n"/>
    </row>
    <row r="22">
      <c r="A22" s="1" t="n"/>
      <c r="B22" s="45" t="n">
        <v>40</v>
      </c>
      <c r="C22" s="46">
        <f>IF(B22="","",D21)</f>
        <v/>
      </c>
      <c r="D22" s="46">
        <f>IF(B22="","",C22+(B22/1440))</f>
        <v/>
      </c>
      <c r="E22" s="50" t="inlineStr">
        <is>
          <t>Moussa in de lucht 
Leonor op de grond</t>
        </is>
      </c>
      <c r="F22" s="62" t="inlineStr">
        <is>
          <t>5.6</t>
        </is>
      </c>
      <c r="G22" s="96" t="inlineStr">
        <is>
          <t>Close</t>
        </is>
      </c>
      <c r="H22" s="50" t="inlineStr">
        <is>
          <t>Steadicam</t>
        </is>
      </c>
      <c r="I22" s="50" t="n"/>
      <c r="J22" s="50" t="inlineStr">
        <is>
          <t>De gezichten van Moussa en Leonor komen dicht bij elkaar</t>
        </is>
      </c>
      <c r="K22" s="52" t="inlineStr">
        <is>
          <t>Moussa en Leonor</t>
        </is>
      </c>
      <c r="L22" s="1" t="n"/>
    </row>
    <row r="23" ht="15" customHeight="1" s="109">
      <c r="A23" s="1" t="n"/>
      <c r="B23" s="55" t="n">
        <v>10</v>
      </c>
      <c r="C23" s="56">
        <f>IF(B23="","",D22)</f>
        <v/>
      </c>
      <c r="D23" s="56">
        <f>IF(B23="","",C23+(B23/1440))</f>
        <v/>
      </c>
      <c r="E23" s="75" t="inlineStr">
        <is>
          <t>Rig: Leonor</t>
        </is>
      </c>
      <c r="F23" s="58" t="n"/>
      <c r="G23" s="60" t="n"/>
      <c r="H23" s="60" t="n"/>
      <c r="I23" s="60" t="n"/>
      <c r="J23" s="60" t="n"/>
      <c r="K23" s="61" t="n"/>
      <c r="L23" s="1" t="n"/>
    </row>
    <row r="24">
      <c r="A24" s="1" t="n"/>
      <c r="B24" s="45" t="n">
        <v>40</v>
      </c>
      <c r="C24" s="46">
        <f>IF(B24="","",D23)</f>
        <v/>
      </c>
      <c r="D24" s="46">
        <f>IF(B24="","",C24+(B24/1440))</f>
        <v/>
      </c>
      <c r="E24" s="50" t="inlineStr">
        <is>
          <t>Leonor in de lucht
Moussa op de grond</t>
        </is>
      </c>
      <c r="F24" s="62" t="inlineStr">
        <is>
          <t>5.4</t>
        </is>
      </c>
      <c r="G24" s="96" t="inlineStr">
        <is>
          <t>Med
OTS</t>
        </is>
      </c>
      <c r="H24" s="50" t="inlineStr">
        <is>
          <t>Statief</t>
        </is>
      </c>
      <c r="I24" s="50" t="n"/>
      <c r="J24" s="50" t="inlineStr">
        <is>
          <t>we kijken vanuit Moussa ots naar leonor die in de lucht hangt</t>
        </is>
      </c>
      <c r="K24" s="52" t="inlineStr">
        <is>
          <t>Moussa en Leonor</t>
        </is>
      </c>
      <c r="L24" s="1" t="n"/>
    </row>
    <row r="25" ht="48.75" customHeight="1" s="109">
      <c r="A25" s="1" t="n"/>
      <c r="B25" s="39" t="n">
        <v>0</v>
      </c>
      <c r="C25" s="40">
        <f>IF(B25="","",D24)</f>
        <v/>
      </c>
      <c r="D25" s="40">
        <f>IF(B25="","",C25+(B25/1440))</f>
        <v/>
      </c>
      <c r="E25" s="43" t="inlineStr">
        <is>
          <t>Scène 5-cam
INT. STUDIO, DE RONDE PLAAT
Camera omhoog</t>
        </is>
      </c>
      <c r="F25" s="95" t="n"/>
      <c r="G25" s="95" t="inlineStr">
        <is>
          <t>14:15-15:25</t>
        </is>
      </c>
      <c r="H25" s="43" t="n"/>
      <c r="I25" s="43" t="n"/>
      <c r="J25" s="43" t="n"/>
      <c r="K25" s="54" t="n"/>
      <c r="L25" s="1" t="n"/>
    </row>
    <row r="26" ht="28.5" customHeight="1" s="109">
      <c r="A26" s="1" t="n"/>
      <c r="B26" s="55" t="n">
        <v>20</v>
      </c>
      <c r="C26" s="56">
        <f>IF(B26="","",D25)</f>
        <v/>
      </c>
      <c r="D26" s="56">
        <f>IF(B26="","",C26+(B26/1440))</f>
        <v/>
      </c>
      <c r="E26" s="75" t="inlineStr">
        <is>
          <t>Rig: camera (geen acteurs)
Ronde plaat neerleggen</t>
        </is>
      </c>
      <c r="F26" s="58" t="n"/>
      <c r="G26" s="60" t="n"/>
      <c r="H26" s="60" t="n"/>
      <c r="I26" s="60" t="n"/>
      <c r="J26" s="60" t="n"/>
      <c r="K26" s="61" t="n"/>
      <c r="L26" s="1" t="n"/>
    </row>
    <row r="27">
      <c r="A27" s="1" t="n"/>
      <c r="B27" s="45" t="n">
        <v>50</v>
      </c>
      <c r="C27" s="46">
        <f>IF(B27="","",D26)</f>
        <v/>
      </c>
      <c r="D27" s="46">
        <f>IF(B27="","",C27+(B27/1440))</f>
        <v/>
      </c>
      <c r="E27" s="50" t="inlineStr">
        <is>
          <t>Camera in de lucht</t>
        </is>
      </c>
      <c r="F27" s="62" t="inlineStr">
        <is>
          <t>5.1</t>
        </is>
      </c>
      <c r="G27" s="96" t="inlineStr">
        <is>
          <t>Med
Topshot</t>
        </is>
      </c>
      <c r="H27" s="50" t="inlineStr">
        <is>
          <t>Camera aan touwen de 
lucht in.</t>
        </is>
      </c>
      <c r="I27" s="50" t="inlineStr">
        <is>
          <t>Ronde plaat: ligt</t>
        </is>
      </c>
      <c r="J27" s="96" t="inlineStr">
        <is>
          <t>Moussa staat op de Ronde plaat en kijkt omhoog naar 
Leonor.</t>
        </is>
      </c>
      <c r="K27" s="52" t="inlineStr">
        <is>
          <t>Moussa</t>
        </is>
      </c>
      <c r="L27" s="1" t="n"/>
    </row>
    <row r="28" ht="15" customHeight="1" s="109">
      <c r="A28" s="1" t="n"/>
      <c r="B28" s="63" t="n">
        <v>45</v>
      </c>
      <c r="C28" s="64">
        <f>IF(B28="","",D27)</f>
        <v/>
      </c>
      <c r="D28" s="64">
        <f>IF(B28="","",C28+(B28/1440))</f>
        <v/>
      </c>
      <c r="E28" s="65" t="inlineStr">
        <is>
          <t>LUNCH</t>
        </is>
      </c>
      <c r="F28" s="66" t="n"/>
      <c r="G28" s="65" t="n"/>
      <c r="H28" s="65" t="n"/>
      <c r="I28" s="65" t="n"/>
      <c r="J28" s="65" t="n"/>
      <c r="K28" s="67" t="n"/>
      <c r="L28" s="1" t="n"/>
    </row>
    <row r="29" ht="42.75" customHeight="1" s="109">
      <c r="A29" s="1" t="n"/>
      <c r="B29" s="39" t="n">
        <v>0</v>
      </c>
      <c r="C29" s="40">
        <f>IF(B29="","",D28)</f>
        <v/>
      </c>
      <c r="D29" s="40">
        <f>IF(B29="","",C29+(B29/1440))</f>
        <v/>
      </c>
      <c r="E29" s="43" t="inlineStr">
        <is>
          <t>Scène 4
INT. STUDIO, DE RONDE PLAAT 
Leonor omhoog</t>
        </is>
      </c>
      <c r="F29" s="95" t="n"/>
      <c r="G29" s="95" t="inlineStr">
        <is>
          <t>16:10-18:00</t>
        </is>
      </c>
      <c r="H29" s="43" t="n"/>
      <c r="I29" s="43" t="n"/>
      <c r="J29" s="43" t="n"/>
      <c r="K29" s="54" t="n"/>
      <c r="L29" s="1" t="n"/>
    </row>
    <row r="30" ht="15" customHeight="1" s="109">
      <c r="A30" s="1" t="n"/>
      <c r="B30" s="55" t="n">
        <v>15</v>
      </c>
      <c r="C30" s="56">
        <f>IF(B30="","",D29)</f>
        <v/>
      </c>
      <c r="D30" s="56">
        <f>IF(B30="","",C30+(B30/1440))</f>
        <v/>
      </c>
      <c r="E30" s="75" t="inlineStr">
        <is>
          <t>Rig: Leonor</t>
        </is>
      </c>
      <c r="F30" s="58" t="n"/>
      <c r="G30" s="60" t="n"/>
      <c r="H30" s="60" t="n"/>
      <c r="I30" s="60" t="n"/>
      <c r="J30" s="60" t="n"/>
      <c r="K30" s="61" t="n"/>
      <c r="L30" s="1" t="n"/>
    </row>
    <row r="31">
      <c r="A31" s="1" t="n"/>
      <c r="B31" s="45" t="n">
        <v>40</v>
      </c>
      <c r="C31" s="46">
        <f>IF(B31="","",D30)</f>
        <v/>
      </c>
      <c r="D31" s="46">
        <f>IF(B31="","",C31+(B31/1440))</f>
        <v/>
      </c>
      <c r="E31" s="50" t="inlineStr">
        <is>
          <t>Leonor in de lucht
Effect: Spelen met effecten</t>
        </is>
      </c>
      <c r="F31" s="62" t="inlineStr">
        <is>
          <t>4.5</t>
        </is>
      </c>
      <c r="G31" s="96" t="inlineStr">
        <is>
          <t>close
Kikker</t>
        </is>
      </c>
      <c r="H31" s="50" t="inlineStr">
        <is>
          <t>Statief</t>
        </is>
      </c>
      <c r="I31" s="50" t="inlineStr">
        <is>
          <t>Ronde plaat: ligt</t>
        </is>
      </c>
      <c r="J31" s="50" t="inlineStr">
        <is>
          <t>Leonor stijgt langzaam op. shot op haar voeten</t>
        </is>
      </c>
      <c r="K31" s="52" t="inlineStr">
        <is>
          <t>Leonor</t>
        </is>
      </c>
      <c r="L31" s="1" t="n"/>
    </row>
    <row r="32" ht="28.5" customHeight="1" s="109">
      <c r="A32" s="1" t="n"/>
      <c r="B32" s="55" t="n">
        <v>10</v>
      </c>
      <c r="C32" s="56">
        <f>IF(B32="","",D31)</f>
        <v/>
      </c>
      <c r="D32" s="56">
        <f>IF(B32="","",C32+(B32/1440))</f>
        <v/>
      </c>
      <c r="E32" s="75" t="inlineStr">
        <is>
          <t>Ombouw: ronde plaat liggend naar staand</t>
        </is>
      </c>
      <c r="F32" s="58" t="n"/>
      <c r="G32" s="60" t="n"/>
      <c r="H32" s="60" t="n"/>
      <c r="I32" s="60" t="n"/>
      <c r="J32" s="60" t="n"/>
      <c r="K32" s="61" t="n"/>
      <c r="L32" s="1" t="n"/>
    </row>
    <row r="33">
      <c r="A33" s="1" t="n"/>
      <c r="B33" s="45" t="n">
        <v>45</v>
      </c>
      <c r="C33" s="46">
        <f>IF(B33="","",D32)</f>
        <v/>
      </c>
      <c r="D33" s="46">
        <f>IF(B33="","",C33+(B33/1440))</f>
        <v/>
      </c>
      <c r="E33" s="50" t="inlineStr">
        <is>
          <t>Leonor in de lucht
VFX</t>
        </is>
      </c>
      <c r="F33" s="62" t="inlineStr">
        <is>
          <t>4.6</t>
        </is>
      </c>
      <c r="G33" s="96" t="inlineStr">
        <is>
          <t>tot</t>
        </is>
      </c>
      <c r="H33" s="50" t="inlineStr">
        <is>
          <t>Statief
Steadicam</t>
        </is>
      </c>
      <c r="I33" s="50" t="inlineStr">
        <is>
          <t>Ronde plaat: staat</t>
        </is>
      </c>
      <c r="J33" s="50" t="inlineStr">
        <is>
          <t>Leonor staat voor de ronde plaat. We schieten haar nu 
en profil. Ze doet een stap en gaat dan de lucht in. 
EXTRA SHOT: We lopen op haar in en onder haar door.</t>
        </is>
      </c>
      <c r="K33" s="52" t="inlineStr">
        <is>
          <t>Leonor</t>
        </is>
      </c>
      <c r="L33" s="1" t="n"/>
    </row>
    <row r="34" ht="42.75" customHeight="1" s="109">
      <c r="A34" s="1" t="n"/>
      <c r="B34" s="39" t="n">
        <v>0</v>
      </c>
      <c r="C34" s="40">
        <f>IF(B34="","",D33)</f>
        <v/>
      </c>
      <c r="D34" s="40">
        <f>IF(B34="","",C34+(B34/1440))</f>
        <v/>
      </c>
      <c r="E34" s="43" t="inlineStr">
        <is>
          <t>Scène 5
INT. STUDIO, DE LUCHT 
Moussa alleen</t>
        </is>
      </c>
      <c r="F34" s="95" t="n"/>
      <c r="G34" s="95" t="inlineStr">
        <is>
          <t>18:00-19:30</t>
        </is>
      </c>
      <c r="H34" s="43" t="n"/>
      <c r="I34" s="43" t="n"/>
      <c r="J34" s="43" t="n"/>
      <c r="K34" s="54" t="n"/>
      <c r="L34" s="1" t="n"/>
    </row>
    <row r="35">
      <c r="A35" s="1" t="n"/>
      <c r="B35" s="55" t="n">
        <v>10</v>
      </c>
      <c r="C35" s="56">
        <f>IF(B35="","",D34)</f>
        <v/>
      </c>
      <c r="D35" s="56">
        <f>IF(B35="","",C35+(B35/1440))</f>
        <v/>
      </c>
      <c r="E35" s="75" t="inlineStr">
        <is>
          <t>Rigwissel: Leonor uit rig (wrap), Moussa in rig
Ronde plaat eruit. 
4.6 en 5.3 = zelfde camerastandpunt</t>
        </is>
      </c>
      <c r="F35" s="58" t="n"/>
      <c r="G35" s="60" t="n"/>
      <c r="H35" s="60" t="n"/>
      <c r="I35" s="60" t="n"/>
      <c r="J35" s="60" t="n"/>
      <c r="K35" s="61" t="n"/>
      <c r="L35" s="1" t="n"/>
    </row>
    <row r="36" ht="15" customHeight="1" s="109">
      <c r="A36" s="1" t="n"/>
      <c r="B36" s="68" t="n">
        <v>0</v>
      </c>
      <c r="C36" s="69">
        <f>IF(B36="","",D35)</f>
        <v/>
      </c>
      <c r="D36" s="69">
        <f>IF(B36="","",C36+(B36/1440))</f>
        <v/>
      </c>
      <c r="E36" s="70" t="inlineStr">
        <is>
          <t>Est. wrap Leonor</t>
        </is>
      </c>
      <c r="F36" s="71" t="n"/>
      <c r="G36" s="73" t="n"/>
      <c r="H36" s="73" t="n"/>
      <c r="I36" s="73" t="n"/>
      <c r="J36" s="73" t="n"/>
      <c r="K36" s="74" t="n"/>
      <c r="L36" s="1" t="n"/>
    </row>
    <row r="37">
      <c r="A37" s="1" t="n"/>
      <c r="B37" s="45" t="n">
        <v>40</v>
      </c>
      <c r="C37" s="46">
        <f>IF(B37="","",D36)</f>
        <v/>
      </c>
      <c r="D37" s="46">
        <f>IF(B37="","",C37+(B37/1440))</f>
        <v/>
      </c>
      <c r="E37" s="50" t="inlineStr">
        <is>
          <t>Moussa in de lucht
VFX
zelfde als 4.6</t>
        </is>
      </c>
      <c r="F37" s="62" t="inlineStr">
        <is>
          <t>5.3</t>
        </is>
      </c>
      <c r="G37" s="96" t="inlineStr">
        <is>
          <t>tot
En profil</t>
        </is>
      </c>
      <c r="H37" s="50" t="inlineStr">
        <is>
          <t>Statief</t>
        </is>
      </c>
      <c r="I37" s="50" t="n"/>
      <c r="J37" s="50" t="inlineStr">
        <is>
          <t xml:space="preserve">Moussa en profiel hangt in de lucht, beweegt richting 
Leonor </t>
        </is>
      </c>
      <c r="K37" s="52" t="inlineStr">
        <is>
          <t>Moussa</t>
        </is>
      </c>
      <c r="L37" s="1" t="n"/>
    </row>
    <row r="38">
      <c r="A38" s="1" t="n"/>
      <c r="B38" s="45" t="n">
        <v>40</v>
      </c>
      <c r="C38" s="46">
        <f>IF(B38="","",D37)</f>
        <v/>
      </c>
      <c r="D38" s="46">
        <f>IF(B38="","",C38+(B38/1440))</f>
        <v/>
      </c>
      <c r="E38" s="50" t="inlineStr">
        <is>
          <t>Moussa in de lucht</t>
        </is>
      </c>
      <c r="F38" s="62" t="inlineStr">
        <is>
          <t>5.2</t>
        </is>
      </c>
      <c r="G38" s="96" t="inlineStr">
        <is>
          <t>Close
Kikker</t>
        </is>
      </c>
      <c r="H38" s="50" t="inlineStr">
        <is>
          <t>Steadicam</t>
        </is>
      </c>
      <c r="I38" s="50" t="n"/>
      <c r="J38" s="50" t="inlineStr">
        <is>
          <t>Moussa kijkt omhoog. Hij stijg op en vlieg over de camera.</t>
        </is>
      </c>
      <c r="K38" s="52" t="inlineStr">
        <is>
          <t>Moussa</t>
        </is>
      </c>
      <c r="L38" s="1" t="n"/>
    </row>
    <row r="39" ht="42.75" customHeight="1" s="109">
      <c r="A39" s="1" t="n"/>
      <c r="B39" s="39" t="n">
        <v>0</v>
      </c>
      <c r="C39" s="40">
        <f>IF(B39="","",D38)</f>
        <v/>
      </c>
      <c r="D39" s="40">
        <f>IF(B39="","",C39+(B39/1440))</f>
        <v/>
      </c>
      <c r="E39" s="43" t="inlineStr">
        <is>
          <t>Scène 6
INT. STUDIO, DE LEEGTE 
Moussa alleen</t>
        </is>
      </c>
      <c r="F39" s="95" t="n"/>
      <c r="G39" s="95" t="inlineStr">
        <is>
          <t>19:30-20:50</t>
        </is>
      </c>
      <c r="H39" s="43" t="n"/>
      <c r="I39" s="43" t="n"/>
      <c r="J39" s="43" t="n"/>
      <c r="K39" s="54" t="n"/>
      <c r="L39" s="1" t="n"/>
    </row>
    <row r="40">
      <c r="A40" s="1" t="n"/>
      <c r="B40" s="45" t="n">
        <v>40</v>
      </c>
      <c r="C40" s="46">
        <f>IF(B40="","",D39)</f>
        <v/>
      </c>
      <c r="D40" s="46">
        <f>IF(B40="","",C40+(B40/1440))</f>
        <v/>
      </c>
      <c r="E40" s="50" t="inlineStr">
        <is>
          <t>Moussa in de lucht</t>
        </is>
      </c>
      <c r="F40" s="62" t="inlineStr">
        <is>
          <t>6.1</t>
        </is>
      </c>
      <c r="G40" s="96" t="inlineStr">
        <is>
          <t>Wijd
en profiel</t>
        </is>
      </c>
      <c r="H40" s="50" t="inlineStr">
        <is>
          <t>Statief</t>
        </is>
      </c>
      <c r="I40" s="50" t="n"/>
      <c r="J40" s="50" t="inlineStr">
        <is>
          <t>Moussa valt in slowmotion naar beneden + hangt alleen in de 
ruimte</t>
        </is>
      </c>
      <c r="K40" s="52" t="inlineStr">
        <is>
          <t>Moussa</t>
        </is>
      </c>
      <c r="L40" s="1" t="n"/>
    </row>
    <row r="41">
      <c r="A41" s="1" t="n"/>
      <c r="B41" s="76" t="n">
        <v>40</v>
      </c>
      <c r="C41" s="77">
        <f>IF(B41="","",D40)</f>
        <v/>
      </c>
      <c r="D41" s="77">
        <f>IF(B41="","",C41+(B41/1440))</f>
        <v/>
      </c>
      <c r="E41" s="81" t="inlineStr">
        <is>
          <t>Moussa in de lucht</t>
        </is>
      </c>
      <c r="F41" s="79" t="inlineStr">
        <is>
          <t>6.2</t>
        </is>
      </c>
      <c r="G41" s="80" t="inlineStr">
        <is>
          <t>med
en profiel</t>
        </is>
      </c>
      <c r="H41" s="81" t="inlineStr">
        <is>
          <t>Statief</t>
        </is>
      </c>
      <c r="I41" s="81" t="n"/>
      <c r="J41" s="81" t="inlineStr">
        <is>
          <t>Moussa hangt alleen in de ruimte</t>
        </is>
      </c>
      <c r="K41" s="82" t="inlineStr">
        <is>
          <t>Moussa</t>
        </is>
      </c>
      <c r="L41" s="1" t="n"/>
    </row>
    <row r="42" ht="15" customHeight="1" s="109">
      <c r="A42" s="1" t="n"/>
      <c r="B42" s="83" t="n">
        <v>0</v>
      </c>
      <c r="C42" s="84">
        <f>IF(B42="","",D41)</f>
        <v/>
      </c>
      <c r="D42" s="84">
        <f>IF(B42="","",C42+(B42/1440))</f>
        <v/>
      </c>
      <c r="E42" s="85" t="inlineStr">
        <is>
          <t>WRAP</t>
        </is>
      </c>
      <c r="F42" s="86" t="n"/>
      <c r="G42" s="86" t="n"/>
      <c r="H42" s="86" t="n"/>
      <c r="I42" s="86" t="n"/>
      <c r="J42" s="87" t="n"/>
      <c r="K42" s="88" t="n"/>
      <c r="L42" s="1" t="n"/>
    </row>
    <row r="43" ht="15" customHeight="1" s="109">
      <c r="A43" s="1" t="n"/>
      <c r="B43" s="89" t="inlineStr">
        <is>
          <t>WRAP</t>
        </is>
      </c>
      <c r="C43" s="90" t="n"/>
      <c r="D43" s="90" t="n"/>
      <c r="E43" s="91" t="inlineStr">
        <is>
          <t>WRAP</t>
        </is>
      </c>
      <c r="F43" s="90" t="n"/>
      <c r="G43" s="90" t="n"/>
      <c r="H43" s="90" t="inlineStr">
        <is>
          <t>WRAP</t>
        </is>
      </c>
      <c r="I43" s="90" t="n"/>
      <c r="J43" s="91" t="inlineStr">
        <is>
          <t>WRAP</t>
        </is>
      </c>
      <c r="K43" s="92" t="n"/>
      <c r="L43" s="1" t="n"/>
    </row>
    <row r="44" ht="7.5" customHeight="1" s="109">
      <c r="A44" s="1" t="n"/>
      <c r="B44" s="1" t="n"/>
      <c r="C44" s="1" t="n"/>
      <c r="D44" s="1" t="n"/>
      <c r="E44" s="1" t="n"/>
      <c r="F44" s="1" t="n"/>
      <c r="G44" s="1" t="n"/>
      <c r="H44" s="1" t="n"/>
      <c r="I44" s="1" t="n"/>
      <c r="J44" s="1" t="n"/>
      <c r="K44" s="1" t="n"/>
      <c r="L44" s="1" t="n"/>
      <c r="M44" s="1" t="n"/>
    </row>
  </sheetData>
  <mergeCells count="31">
    <mergeCell ref="J6:L6"/>
    <mergeCell ref="B9:E9"/>
    <mergeCell ref="F9:I9"/>
    <mergeCell ref="B6:E6"/>
    <mergeCell ref="J4:L4"/>
    <mergeCell ref="B5:E5"/>
    <mergeCell ref="E16:K16"/>
    <mergeCell ref="J7:L7"/>
    <mergeCell ref="B2:C2"/>
    <mergeCell ref="B4:E4"/>
    <mergeCell ref="F4:I4"/>
    <mergeCell ref="D2:K2"/>
    <mergeCell ref="E12:K12"/>
    <mergeCell ref="B7:E7"/>
    <mergeCell ref="B3:E3"/>
    <mergeCell ref="J3:L3"/>
    <mergeCell ref="F10:I10"/>
    <mergeCell ref="F6:I6"/>
    <mergeCell ref="E14:K14"/>
    <mergeCell ref="F7:I7"/>
    <mergeCell ref="F3:I3"/>
    <mergeCell ref="J8:L8"/>
    <mergeCell ref="F5:I5"/>
    <mergeCell ref="J5:L5"/>
    <mergeCell ref="E13:K13"/>
    <mergeCell ref="B8:E8"/>
    <mergeCell ref="J10:L10"/>
    <mergeCell ref="F8:I8"/>
    <mergeCell ref="E15:K15"/>
    <mergeCell ref="J9:L9"/>
    <mergeCell ref="B10:E10"/>
  </mergeCells>
  <printOptions horizontalCentered="1"/>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L28"/>
  <sheetViews>
    <sheetView showGridLines="0" workbookViewId="0">
      <pane ySplit="16" topLeftCell="A17" activePane="bottomLeft" state="frozen"/>
      <selection pane="bottomLeft" activeCell="B18" sqref="B18"/>
    </sheetView>
  </sheetViews>
  <sheetFormatPr baseColWidth="8" defaultColWidth="14.43" defaultRowHeight="15" customHeight="1"/>
  <cols>
    <col width="1.57" customWidth="1" style="109" min="1" max="1"/>
    <col width="9" customWidth="1" style="109" min="2" max="2"/>
    <col width="8.43" customWidth="1" style="109" min="3" max="4"/>
    <col width="32" customWidth="1" style="109" min="5" max="5"/>
    <col width="5.57" customWidth="1" style="109" min="6" max="6"/>
    <col width="16" customWidth="1" style="109" min="7" max="7"/>
    <col width="18" customWidth="1" style="109" min="8" max="8"/>
    <col width="44" customWidth="1" style="109" min="9" max="9"/>
    <col width="16" customWidth="1" style="109" min="10" max="10"/>
    <col width="1.86" customWidth="1" style="109" min="11" max="11"/>
    <col hidden="1" width="13" customWidth="1" style="109" min="12" max="12"/>
  </cols>
  <sheetData>
    <row r="1" ht="9" customHeight="1" s="109">
      <c r="A1" s="1" t="n"/>
      <c r="B1" s="1" t="n"/>
      <c r="C1" s="1" t="n"/>
      <c r="D1" s="1" t="n"/>
      <c r="E1" s="1" t="n"/>
      <c r="F1" s="1" t="n"/>
      <c r="G1" s="1" t="n"/>
      <c r="H1" s="1" t="n"/>
      <c r="I1" s="1" t="n"/>
      <c r="J1" s="1" t="n"/>
      <c r="K1" s="1" t="n"/>
      <c r="L1" s="1" t="n"/>
    </row>
    <row r="2" ht="37.5" customHeight="1" s="109">
      <c r="A2" s="1" t="n"/>
      <c r="B2" s="110" t="inlineStr">
        <is>
          <t>SIIMON</t>
        </is>
      </c>
      <c r="C2" s="111" t="n"/>
      <c r="D2" s="112" t="inlineStr">
        <is>
          <t>DD#3   |   21-06-2026</t>
        </is>
      </c>
      <c r="E2" s="113" t="n"/>
      <c r="F2" s="113" t="n"/>
      <c r="G2" s="113" t="n"/>
      <c r="H2" s="113" t="n"/>
      <c r="I2" s="113" t="n"/>
      <c r="J2" s="114" t="n"/>
      <c r="K2" s="1" t="n"/>
      <c r="L2" s="93" t="n">
        <v>60</v>
      </c>
    </row>
    <row r="3" ht="9.75" customHeight="1" s="109">
      <c r="A3" s="1" t="n"/>
      <c r="B3" s="115" t="inlineStr">
        <is>
          <t>REGISSEUR</t>
        </is>
      </c>
      <c r="C3" s="116" t="n"/>
      <c r="D3" s="116" t="n"/>
      <c r="E3" s="117" t="n"/>
      <c r="F3" s="10" t="inlineStr">
        <is>
          <t>CREW</t>
        </is>
      </c>
      <c r="G3" s="116" t="n"/>
      <c r="H3" s="116" t="n"/>
      <c r="I3" s="132" t="inlineStr">
        <is>
          <t>SCÈNES</t>
        </is>
      </c>
      <c r="J3" s="116" t="n"/>
      <c r="K3" s="120" t="n"/>
      <c r="L3" s="93" t="n">
        <v>30</v>
      </c>
    </row>
    <row r="4" ht="15" customHeight="1" s="109">
      <c r="A4" s="1" t="n"/>
      <c r="B4" s="121" t="inlineStr">
        <is>
          <t>Julius Timmer</t>
        </is>
      </c>
      <c r="C4" s="116" t="n"/>
      <c r="D4" s="116" t="n"/>
      <c r="E4" s="117" t="n"/>
      <c r="F4" s="13">
        <f>$B$14-$L$2/1440</f>
        <v/>
      </c>
      <c r="G4" s="116" t="n"/>
      <c r="H4" s="116" t="n"/>
      <c r="I4" s="133" t="n">
        <v>1</v>
      </c>
      <c r="J4" s="116" t="n"/>
      <c r="K4" s="120" t="n"/>
      <c r="L4" s="93" t="n">
        <v>15</v>
      </c>
    </row>
    <row r="5" ht="9.75" customHeight="1" s="109">
      <c r="A5" s="1" t="n"/>
      <c r="B5" s="115" t="inlineStr">
        <is>
          <t>D.O.P.</t>
        </is>
      </c>
      <c r="C5" s="116" t="n"/>
      <c r="D5" s="116" t="n"/>
      <c r="E5" s="117" t="n"/>
      <c r="F5" s="10" t="inlineStr">
        <is>
          <t>SHOOT</t>
        </is>
      </c>
      <c r="G5" s="116" t="n"/>
      <c r="H5" s="116" t="n"/>
      <c r="I5" s="132" t="inlineStr">
        <is>
          <t>CAST</t>
        </is>
      </c>
      <c r="J5" s="116" t="n"/>
      <c r="K5" s="120" t="n"/>
    </row>
    <row r="6" ht="15" customHeight="1" s="109">
      <c r="A6" s="1" t="n"/>
      <c r="B6" s="121" t="inlineStr">
        <is>
          <t>Maarten Brom</t>
        </is>
      </c>
      <c r="C6" s="116" t="n"/>
      <c r="D6" s="116" t="n"/>
      <c r="E6" s="117" t="n"/>
      <c r="F6" s="13">
        <f>$B$14</f>
        <v/>
      </c>
      <c r="G6" s="116" t="n"/>
      <c r="H6" s="116" t="n"/>
      <c r="I6" s="134" t="inlineStr">
        <is>
          <t>Moussa, Leonor</t>
        </is>
      </c>
      <c r="J6" s="116" t="n"/>
      <c r="K6" s="120" t="n"/>
      <c r="L6" s="94">
        <f t="array" ref="L6">IFERROR(MIN(IF(ISNUMBER(SEARCH("Moussa",J17:J27)),C17:C27,"")),"")</f>
        <v/>
      </c>
    </row>
    <row r="7" ht="9.75" customHeight="1" s="109">
      <c r="A7" s="1" t="n"/>
      <c r="B7" s="115" t="inlineStr">
        <is>
          <t>FIRST AD</t>
        </is>
      </c>
      <c r="C7" s="116" t="n"/>
      <c r="D7" s="116" t="n"/>
      <c r="E7" s="117" t="n"/>
      <c r="F7" s="10" t="inlineStr">
        <is>
          <t>LUNCH</t>
        </is>
      </c>
      <c r="G7" s="100" t="n"/>
      <c r="H7" s="100" t="n"/>
      <c r="I7" s="132" t="inlineStr">
        <is>
          <t>LOCATIE</t>
        </is>
      </c>
      <c r="J7" s="116" t="n"/>
      <c r="K7" s="120" t="n"/>
      <c r="L7" s="94">
        <f t="array" ref="L7">IFERROR(MIN(IF(ISNUMBER(SEARCH("Leonor",J17:J27)),C17:C27,"")),"")</f>
        <v/>
      </c>
    </row>
    <row r="8" ht="15" customHeight="1" s="109">
      <c r="A8" s="1" t="n"/>
      <c r="B8" s="121" t="inlineStr">
        <is>
          <t>Yassin van Veenendaal</t>
        </is>
      </c>
      <c r="C8" s="116" t="n"/>
      <c r="D8" s="116" t="n"/>
      <c r="E8" s="117" t="n"/>
      <c r="F8" s="13">
        <f>IFERROR(C22,"")</f>
        <v/>
      </c>
      <c r="G8" s="116" t="n"/>
      <c r="H8" s="116" t="n"/>
      <c r="I8" s="134" t="inlineStr">
        <is>
          <t>Roltrap</t>
        </is>
      </c>
      <c r="J8" s="116" t="n"/>
      <c r="K8" s="120" t="n"/>
    </row>
    <row r="9" ht="9.75" customHeight="1" s="109">
      <c r="A9" s="1" t="n"/>
      <c r="B9" s="115" t="inlineStr">
        <is>
          <t>ADRES</t>
        </is>
      </c>
      <c r="C9" s="116" t="n"/>
      <c r="D9" s="116" t="n"/>
      <c r="E9" s="117" t="n"/>
      <c r="F9" s="19" t="inlineStr">
        <is>
          <t>WRAP</t>
        </is>
      </c>
      <c r="G9" s="102" t="n"/>
      <c r="H9" s="102" t="n"/>
      <c r="I9" s="135" t="inlineStr">
        <is>
          <t>DRAAIDAG</t>
        </is>
      </c>
      <c r="J9" s="116" t="n"/>
      <c r="K9" s="120" t="n"/>
    </row>
    <row r="10" ht="15" customHeight="1" s="109">
      <c r="A10" s="1" t="n"/>
      <c r="B10" s="121" t="inlineStr">
        <is>
          <t>Mosveld 107, 1031 AD Amsterdam</t>
        </is>
      </c>
      <c r="C10" s="116" t="n"/>
      <c r="D10" s="116" t="n"/>
      <c r="E10" s="117" t="n"/>
      <c r="F10" s="13">
        <f>IFERROR(D26,"")</f>
        <v/>
      </c>
      <c r="G10" s="116" t="n"/>
      <c r="H10" s="116" t="n"/>
      <c r="I10" s="122">
        <f>F10-F6</f>
        <v/>
      </c>
      <c r="J10" s="116" t="n"/>
      <c r="K10" s="117" t="n"/>
    </row>
    <row r="11" ht="15.75" customHeight="1" s="109">
      <c r="A11" s="1" t="n"/>
      <c r="B11" s="21" t="inlineStr">
        <is>
          <t>TIJD</t>
        </is>
      </c>
      <c r="C11" s="22" t="inlineStr">
        <is>
          <t>VAN</t>
        </is>
      </c>
      <c r="D11" s="22" t="inlineStr">
        <is>
          <t>TOT</t>
        </is>
      </c>
      <c r="E11" s="126" t="inlineStr">
        <is>
          <t>ACTIVITEIT</t>
        </is>
      </c>
      <c r="F11" s="113" t="n"/>
      <c r="G11" s="113" t="n"/>
      <c r="H11" s="113" t="n"/>
      <c r="I11" s="113" t="n"/>
      <c r="J11" s="114" t="n"/>
      <c r="K11" s="1" t="n"/>
    </row>
    <row r="12">
      <c r="A12" s="1" t="n"/>
      <c r="B12" s="24">
        <f>$B$14-$L$2/1440</f>
        <v/>
      </c>
      <c r="C12" s="25" t="n"/>
      <c r="D12" s="25" t="n"/>
      <c r="E12" s="127" t="inlineStr">
        <is>
          <t>Crewcall</t>
        </is>
      </c>
      <c r="F12" s="116" t="n"/>
      <c r="G12" s="116" t="n"/>
      <c r="H12" s="116" t="n"/>
      <c r="I12" s="116" t="n"/>
      <c r="J12" s="120" t="n"/>
      <c r="K12" s="1" t="n"/>
    </row>
    <row r="13">
      <c r="A13" s="1" t="n"/>
      <c r="B13" s="27">
        <f>$B$14-$L$2/1440</f>
        <v/>
      </c>
      <c r="C13" s="28">
        <f>$B$14-$L$2/1440</f>
        <v/>
      </c>
      <c r="D13" s="28">
        <f>$B$14</f>
        <v/>
      </c>
      <c r="E13" s="128" t="inlineStr">
        <is>
          <t>Opbouw</t>
        </is>
      </c>
      <c r="F13" s="116" t="n"/>
      <c r="G13" s="116" t="n"/>
      <c r="H13" s="116" t="n"/>
      <c r="I13" s="116" t="n"/>
      <c r="J13" s="120" t="n"/>
      <c r="K13" s="1" t="n"/>
    </row>
    <row r="14">
      <c r="A14" s="1" t="n"/>
      <c r="B14" s="30" t="n">
        <v>0.4166666666666667</v>
      </c>
      <c r="C14" s="31" t="n"/>
      <c r="D14" s="31" t="n"/>
      <c r="E14" s="129" t="inlineStr">
        <is>
          <t>Shooting call</t>
        </is>
      </c>
      <c r="F14" s="130" t="n"/>
      <c r="G14" s="130" t="n"/>
      <c r="H14" s="130" t="n"/>
      <c r="I14" s="130" t="n"/>
      <c r="J14" s="131" t="n"/>
      <c r="K14" s="1" t="n"/>
    </row>
    <row r="15" ht="7.5" customHeight="1" s="109">
      <c r="A15" s="1" t="n"/>
      <c r="K15" s="1" t="n"/>
    </row>
    <row r="16" ht="21.75" customHeight="1" s="109">
      <c r="A16" s="1" t="n"/>
      <c r="B16" s="35" t="inlineStr">
        <is>
          <t>Tijd (min)</t>
        </is>
      </c>
      <c r="C16" s="36" t="inlineStr">
        <is>
          <t>Van</t>
        </is>
      </c>
      <c r="D16" s="36" t="inlineStr">
        <is>
          <t>Tot</t>
        </is>
      </c>
      <c r="E16" s="37" t="inlineStr">
        <is>
          <t>Notes</t>
        </is>
      </c>
      <c r="F16" s="36" t="inlineStr">
        <is>
          <t>Nr</t>
        </is>
      </c>
      <c r="G16" s="36" t="inlineStr">
        <is>
          <t>Soort</t>
        </is>
      </c>
      <c r="H16" s="36" t="inlineStr">
        <is>
          <t>Grip</t>
        </is>
      </c>
      <c r="I16" s="37" t="inlineStr">
        <is>
          <t>Beschrijving</t>
        </is>
      </c>
      <c r="J16" s="38" t="inlineStr">
        <is>
          <t>Acteurs</t>
        </is>
      </c>
      <c r="K16" s="1" t="n"/>
    </row>
    <row r="17" ht="42.75" customHeight="1" s="109">
      <c r="A17" s="1" t="n"/>
      <c r="B17" s="39" t="n">
        <v>0</v>
      </c>
      <c r="C17" s="40">
        <f>IF(B17="","",$B$14)</f>
        <v/>
      </c>
      <c r="D17" s="40">
        <f>IF(B17="","",C17+(B17/1440))</f>
        <v/>
      </c>
      <c r="E17" s="43" t="inlineStr">
        <is>
          <t>Scène 1
INT. WINKELCENTRUM, DAG 
Roltrap</t>
        </is>
      </c>
      <c r="F17" s="95" t="n"/>
      <c r="G17" s="95" t="n"/>
      <c r="H17" s="95" t="n"/>
      <c r="I17" s="43" t="n"/>
      <c r="J17" s="44" t="n"/>
      <c r="K17" s="1" t="n"/>
    </row>
    <row r="18">
      <c r="A18" s="1" t="n"/>
      <c r="B18" s="45" t="n">
        <v>55</v>
      </c>
      <c r="C18" s="46">
        <f>IF(B18="","",D17)</f>
        <v/>
      </c>
      <c r="D18" s="46">
        <f>IF(B18="","",C18+(B18/1440))</f>
        <v/>
      </c>
      <c r="E18" s="50" t="n"/>
      <c r="F18" s="62" t="inlineStr">
        <is>
          <t>1.1</t>
        </is>
      </c>
      <c r="G18" s="104" t="inlineStr">
        <is>
          <t>med/tot
Kikvors</t>
        </is>
      </c>
      <c r="H18" s="104" t="inlineStr">
        <is>
          <t>Low bowl
Wijd</t>
        </is>
      </c>
      <c r="I18" s="50" t="inlineStr">
        <is>
          <t>Camera kijkt omhoog. We het plafond van het winkelcentrum Dan stapt er iemand overheen en volgen we de begewing naar de roltrap</t>
        </is>
      </c>
      <c r="J18" s="105" t="inlineStr">
        <is>
          <t>Moussa</t>
        </is>
      </c>
      <c r="K18" s="1" t="n"/>
    </row>
    <row r="19">
      <c r="A19" s="1" t="n"/>
      <c r="B19" s="45" t="n">
        <v>55</v>
      </c>
      <c r="C19" s="46">
        <f>IF(B19="","",D18)</f>
        <v/>
      </c>
      <c r="D19" s="46">
        <f>IF(B19="","",C19+(B19/1440))</f>
        <v/>
      </c>
      <c r="E19" s="50" t="n"/>
      <c r="F19" s="62" t="inlineStr">
        <is>
          <t>1.2</t>
        </is>
      </c>
      <c r="G19" s="104" t="inlineStr">
        <is>
          <t>Med close</t>
        </is>
      </c>
      <c r="H19" s="104" t="inlineStr">
        <is>
          <t>Handheld
Wijd</t>
        </is>
      </c>
      <c r="I19" s="50" t="inlineStr">
        <is>
          <t>Moussa staat op de roltrap, redelijk in zijn eigen wereld. Hele acties op het einde tilten we naar beneden en snijden we naar scene 2.</t>
        </is>
      </c>
      <c r="J19" s="105" t="inlineStr">
        <is>
          <t>Moussa</t>
        </is>
      </c>
      <c r="K19" s="1" t="n"/>
    </row>
    <row r="20">
      <c r="A20" s="1" t="n"/>
      <c r="B20" s="45" t="n">
        <v>50</v>
      </c>
      <c r="C20" s="46">
        <f>IF(B20="","",D19)</f>
        <v/>
      </c>
      <c r="D20" s="46">
        <f>IF(B20="","",C20+(B20/1440))</f>
        <v/>
      </c>
      <c r="E20" s="50" t="inlineStr">
        <is>
          <t>Effect: Directional blur effect 
introduceren</t>
        </is>
      </c>
      <c r="F20" s="62" t="inlineStr">
        <is>
          <t>1.3</t>
        </is>
      </c>
      <c r="G20" s="104" t="inlineStr">
        <is>
          <t>Med tot</t>
        </is>
      </c>
      <c r="H20" s="104" t="inlineStr">
        <is>
          <t>Handheld
Lange lens</t>
        </is>
      </c>
      <c r="I20" s="50" t="inlineStr">
        <is>
          <t>Soort pov van Moussa die Leonor ziet staan op de roltrap</t>
        </is>
      </c>
      <c r="J20" s="105" t="inlineStr">
        <is>
          <t>Moussa en Leonor</t>
        </is>
      </c>
      <c r="K20" s="1" t="n"/>
    </row>
    <row r="21">
      <c r="A21" s="1" t="n"/>
      <c r="B21" s="45" t="n">
        <v>45</v>
      </c>
      <c r="C21" s="46">
        <f>IF(B21="","",D20)</f>
        <v/>
      </c>
      <c r="D21" s="46">
        <f>IF(B21="","",C21+(B21/1440))</f>
        <v/>
      </c>
      <c r="E21" s="50" t="n"/>
      <c r="F21" s="62" t="inlineStr">
        <is>
          <t>1.4</t>
        </is>
      </c>
      <c r="G21" s="104" t="inlineStr">
        <is>
          <t>Med</t>
        </is>
      </c>
      <c r="H21" s="104" t="inlineStr">
        <is>
          <t>Handheld</t>
        </is>
      </c>
      <c r="I21" s="50" t="inlineStr">
        <is>
          <t>Ots van Moussa, hij kijkt om naar Leonor en we vangen zijn blik op.</t>
        </is>
      </c>
      <c r="J21" s="105" t="inlineStr">
        <is>
          <t>Moussa en Leonor</t>
        </is>
      </c>
      <c r="K21" s="1" t="n"/>
    </row>
    <row r="22" ht="15" customHeight="1" s="109">
      <c r="A22" s="1" t="n"/>
      <c r="B22" s="63" t="n">
        <v>45</v>
      </c>
      <c r="C22" s="64">
        <f>IF(B22="","",D21)</f>
        <v/>
      </c>
      <c r="D22" s="64">
        <f>IF(B22="","",C22+(B22/1440))</f>
        <v/>
      </c>
      <c r="E22" s="65" t="inlineStr">
        <is>
          <t>LUNCH</t>
        </is>
      </c>
      <c r="F22" s="66" t="n"/>
      <c r="G22" s="66" t="n"/>
      <c r="H22" s="66" t="n"/>
      <c r="I22" s="65" t="n"/>
      <c r="J22" s="106" t="n"/>
      <c r="K22" s="1" t="n"/>
    </row>
    <row r="23" ht="42.75" customHeight="1" s="109">
      <c r="A23" s="1" t="n"/>
      <c r="B23" s="39" t="n">
        <v>0</v>
      </c>
      <c r="C23" s="40">
        <f>IF(B23="","",D22)</f>
        <v/>
      </c>
      <c r="D23" s="40">
        <f>IF(B23="","",C23+(B23/1440))</f>
        <v/>
      </c>
      <c r="E23" s="43" t="inlineStr">
        <is>
          <t>Scène 1
INT. WINKELCENTRUM, DAG 
Roltrap</t>
        </is>
      </c>
      <c r="F23" s="95" t="n"/>
      <c r="G23" s="95" t="n"/>
      <c r="H23" s="95" t="n"/>
      <c r="I23" s="43" t="n"/>
      <c r="J23" s="44" t="n"/>
      <c r="K23" s="1" t="n"/>
    </row>
    <row r="24">
      <c r="A24" s="1" t="n"/>
      <c r="B24" s="45" t="n">
        <v>55</v>
      </c>
      <c r="C24" s="46">
        <f>IF(B24="","",D23)</f>
        <v/>
      </c>
      <c r="D24" s="46">
        <f>IF(B24="","",C24+(B24/1440))</f>
        <v/>
      </c>
      <c r="E24" s="50" t="n"/>
      <c r="F24" s="62" t="inlineStr">
        <is>
          <t>1.5</t>
        </is>
      </c>
      <c r="G24" s="104" t="inlineStr">
        <is>
          <t>Tot</t>
        </is>
      </c>
      <c r="H24" s="104" t="inlineStr">
        <is>
          <t>Handheld
Wijd</t>
        </is>
      </c>
      <c r="I24" s="50" t="inlineStr">
        <is>
          <t>Totaal roltrap</t>
        </is>
      </c>
      <c r="J24" s="105" t="inlineStr">
        <is>
          <t>Moussa en Leonor</t>
        </is>
      </c>
      <c r="K24" s="1" t="n"/>
    </row>
    <row r="25">
      <c r="A25" s="1" t="n"/>
      <c r="B25" s="76" t="n">
        <v>55</v>
      </c>
      <c r="C25" s="77">
        <f>IF(B25="","",D24)</f>
        <v/>
      </c>
      <c r="D25" s="77">
        <f>IF(B25="","",C25+(B25/1440))</f>
        <v/>
      </c>
      <c r="E25" s="81" t="n"/>
      <c r="F25" s="79" t="inlineStr">
        <is>
          <t>1.6</t>
        </is>
      </c>
      <c r="G25" s="107" t="inlineStr">
        <is>
          <t>Med/close</t>
        </is>
      </c>
      <c r="H25" s="107" t="inlineStr">
        <is>
          <t>Handheld</t>
        </is>
      </c>
      <c r="I25" s="81" t="inlineStr">
        <is>
          <t>Leonor staat op de roltrap en we zien haar achterhoofd</t>
        </is>
      </c>
      <c r="J25" s="108" t="inlineStr">
        <is>
          <t>Leonor</t>
        </is>
      </c>
      <c r="K25" s="1" t="n"/>
    </row>
    <row r="26" ht="15" customHeight="1" s="109">
      <c r="A26" s="1" t="n"/>
      <c r="B26" s="83" t="n">
        <v>0</v>
      </c>
      <c r="C26" s="84">
        <f>IF(B26="","",D25)</f>
        <v/>
      </c>
      <c r="D26" s="84">
        <f>IF(B26="","",C26+(B26/1440))</f>
        <v/>
      </c>
      <c r="E26" s="85" t="inlineStr">
        <is>
          <t>WRAP</t>
        </is>
      </c>
      <c r="F26" s="86" t="n"/>
      <c r="G26" s="86" t="n"/>
      <c r="H26" s="86" t="n"/>
      <c r="I26" s="87" t="n"/>
      <c r="J26" s="88" t="n"/>
      <c r="K26" s="1" t="n"/>
    </row>
    <row r="27" ht="15" customHeight="1" s="109">
      <c r="A27" s="1" t="n"/>
      <c r="B27" s="89" t="inlineStr">
        <is>
          <t>WRAP</t>
        </is>
      </c>
      <c r="C27" s="90" t="n"/>
      <c r="D27" s="90" t="n"/>
      <c r="E27" s="91" t="inlineStr">
        <is>
          <t>WRAP</t>
        </is>
      </c>
      <c r="F27" s="90" t="n"/>
      <c r="G27" s="90" t="n"/>
      <c r="H27" s="90" t="inlineStr">
        <is>
          <t>WRAP</t>
        </is>
      </c>
      <c r="I27" s="91" t="inlineStr">
        <is>
          <t>WRAP</t>
        </is>
      </c>
      <c r="J27" s="92" t="n"/>
      <c r="K27" s="1" t="n"/>
    </row>
    <row r="28" ht="7.5" customHeight="1" s="109">
      <c r="A28" s="1" t="n"/>
      <c r="B28" s="1" t="n"/>
      <c r="C28" s="1" t="n"/>
      <c r="D28" s="1" t="n"/>
      <c r="E28" s="1" t="n"/>
      <c r="F28" s="1" t="n"/>
      <c r="G28" s="1" t="n"/>
      <c r="H28" s="1" t="n"/>
      <c r="I28" s="1" t="n"/>
      <c r="J28" s="1" t="n"/>
      <c r="K28" s="1" t="n"/>
      <c r="L28" s="1" t="n"/>
    </row>
  </sheetData>
  <mergeCells count="28">
    <mergeCell ref="B9:E9"/>
    <mergeCell ref="F5:H5"/>
    <mergeCell ref="E13:J13"/>
    <mergeCell ref="B6:E6"/>
    <mergeCell ref="F8:H8"/>
    <mergeCell ref="F3:H3"/>
    <mergeCell ref="B5:E5"/>
    <mergeCell ref="I3:K3"/>
    <mergeCell ref="B2:C2"/>
    <mergeCell ref="E11:J11"/>
    <mergeCell ref="B4:E4"/>
    <mergeCell ref="I5:K5"/>
    <mergeCell ref="I8:K8"/>
    <mergeCell ref="B7:E7"/>
    <mergeCell ref="B3:E3"/>
    <mergeCell ref="I4:K4"/>
    <mergeCell ref="I10:K10"/>
    <mergeCell ref="I9:K9"/>
    <mergeCell ref="F4:H4"/>
    <mergeCell ref="D2:J2"/>
    <mergeCell ref="E12:J12"/>
    <mergeCell ref="I6:K6"/>
    <mergeCell ref="F10:H10"/>
    <mergeCell ref="F6:H6"/>
    <mergeCell ref="B8:E8"/>
    <mergeCell ref="E14:J14"/>
    <mergeCell ref="B10:E10"/>
    <mergeCell ref="I7:K7"/>
  </mergeCells>
  <printOptions horizontalCentered="1"/>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2026-06-16T21:39:54Z</dcterms:created>
  <dcterms:modified xsi:type="dcterms:W3CDTF">2026-06-17T14:11:37Z</dcterms:modified>
</cp:coreProperties>
</file>