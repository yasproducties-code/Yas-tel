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D#1" sheetId="1" r:id="rId4"/>
    <sheet state="visible" name="DD#2" sheetId="2" r:id="rId5"/>
    <sheet state="visible" name="DD#3" sheetId="3" r:id="rId6"/>
    <sheet state="visible" name="Blad1" sheetId="4" r:id="rId7"/>
  </sheets>
  <definedNames/>
  <calcPr/>
  <extLst>
    <ext uri="GoogleSheetsCustomDataVersion2">
      <go:sheetsCustomData xmlns:go="http://customooxmlschemas.google.com/" r:id="rId8" roundtripDataChecksum="nTcmNoRyPHUBFBk6hZbnAdqEKfx9uof4SRg10UpEpms="/>
    </ext>
  </extLst>
</workbook>
</file>

<file path=xl/sharedStrings.xml><?xml version="1.0" encoding="utf-8"?>
<sst xmlns="http://schemas.openxmlformats.org/spreadsheetml/2006/main" count="338" uniqueCount="186">
  <si>
    <t>SIIMON</t>
  </si>
  <si>
    <t>DD#1   |   19-06-2026</t>
  </si>
  <si>
    <t>REGISSEUR</t>
  </si>
  <si>
    <t>CREW</t>
  </si>
  <si>
    <t>SCÈNES</t>
  </si>
  <si>
    <t>Julius Timmer</t>
  </si>
  <si>
    <t>2, 4</t>
  </si>
  <si>
    <t>D.O.P.</t>
  </si>
  <si>
    <t>SHOOT</t>
  </si>
  <si>
    <t>CAST</t>
  </si>
  <si>
    <t>Maarten Brom</t>
  </si>
  <si>
    <t>Moussa, Leonor</t>
  </si>
  <si>
    <t>FIRST AD</t>
  </si>
  <si>
    <t>LUNCH</t>
  </si>
  <si>
    <t>LOCATIE</t>
  </si>
  <si>
    <t>Yassin van Veenendaal</t>
  </si>
  <si>
    <t>Stuntbase</t>
  </si>
  <si>
    <t>ADRES</t>
  </si>
  <si>
    <t>WRAP</t>
  </si>
  <si>
    <t>DRAAIDAG</t>
  </si>
  <si>
    <t>Vrijheidweg 49, 1521 RP Wormerveer</t>
  </si>
  <si>
    <t>TIJD</t>
  </si>
  <si>
    <t>VAN</t>
  </si>
  <si>
    <t>TOT</t>
  </si>
  <si>
    <t>ACTIVITEIT</t>
  </si>
  <si>
    <t>Crewcall</t>
  </si>
  <si>
    <t>Opbouw (uitlichten, ronde plaat en bol: lamp, china bowl, ballon. (met lamp) preppen)</t>
  </si>
  <si>
    <t>Shooting call</t>
  </si>
  <si>
    <t>Tijd (min)</t>
  </si>
  <si>
    <t>Van</t>
  </si>
  <si>
    <t>Tot</t>
  </si>
  <si>
    <t>Notes</t>
  </si>
  <si>
    <t>Nr</t>
  </si>
  <si>
    <t>Soort</t>
  </si>
  <si>
    <t>Grip</t>
  </si>
  <si>
    <t>Prop</t>
  </si>
  <si>
    <t>VFX</t>
  </si>
  <si>
    <t>Beschrijving</t>
  </si>
  <si>
    <t>Acteurs</t>
  </si>
  <si>
    <t>Scène 4
INT. STUDIO
Ronde plaat</t>
  </si>
  <si>
    <t>10:00-11:40</t>
  </si>
  <si>
    <t>Ronde plaat: staat</t>
  </si>
  <si>
    <t xml:space="preserve">Effect: Flits/blur effect als 
overgang </t>
  </si>
  <si>
    <t>4.1</t>
  </si>
  <si>
    <t>Tot
Eye level</t>
  </si>
  <si>
    <t>Statief</t>
  </si>
  <si>
    <t>Leonor staat silhouet voor de ronde plaat</t>
  </si>
  <si>
    <t>Leonor</t>
  </si>
  <si>
    <t>Spelen met effecten</t>
  </si>
  <si>
    <t>4.2</t>
  </si>
  <si>
    <t>Med
Eye level</t>
  </si>
  <si>
    <t>4.3</t>
  </si>
  <si>
    <t>Close
Eye level</t>
  </si>
  <si>
    <t>4.4</t>
  </si>
  <si>
    <t>Leonor staat voor de ronde plaat. 
we schieten haar nu en profil aan.</t>
  </si>
  <si>
    <t>Est. wrap Leonor - 16:20</t>
  </si>
  <si>
    <t>Scène 2
INT. STUDIO
De bol</t>
  </si>
  <si>
    <t>11:40-12:00</t>
  </si>
  <si>
    <t>Ombouw: Bol</t>
  </si>
  <si>
    <t>Spellen met effecten en filters</t>
  </si>
  <si>
    <t>2.8</t>
  </si>
  <si>
    <t>Tot -&gt; Med close
Eye level</t>
  </si>
  <si>
    <t>Steadicam</t>
  </si>
  <si>
    <t xml:space="preserve">Ballon </t>
  </si>
  <si>
    <t>We rijden in op de bol Steadicam, licht wordt feller en 'warmte effect wordt groter</t>
  </si>
  <si>
    <t>geen acteurs</t>
  </si>
  <si>
    <t>2.9</t>
  </si>
  <si>
    <t>Med - close
Eye level</t>
  </si>
  <si>
    <t>Ballon</t>
  </si>
  <si>
    <t>We rijden langs de ballon, snelle shots.</t>
  </si>
  <si>
    <r>
      <rPr>
        <rFont val="Montserrat"/>
        <b/>
        <color rgb="FFFFFFFF"/>
        <sz val="10.0"/>
      </rPr>
      <t xml:space="preserve">RESERVE
</t>
    </r>
    <r>
      <rPr>
        <rFont val="Montserrat"/>
        <b val="0"/>
        <color rgb="FFFFFFFF"/>
        <sz val="10.0"/>
      </rPr>
      <t xml:space="preserve">Ruimte voor uitloop of extra shots
</t>
    </r>
    <r>
      <rPr>
        <rFont val="Montserrat"/>
        <b/>
        <color rgb="FFFFFFFF"/>
        <sz val="10.0"/>
      </rPr>
      <t>nog 1 uur met Leonor gepakt</t>
    </r>
  </si>
  <si>
    <r>
      <rPr>
        <rFont val="Montserrat"/>
        <b/>
        <color rgb="FFFFFFFF"/>
        <sz val="10.0"/>
      </rPr>
      <t xml:space="preserve">VOORBEREIDING MOUSSA PRIORITY BLOCK
</t>
    </r>
    <r>
      <rPr>
        <rFont val="Montserrat"/>
        <b val="0"/>
        <color rgb="FFFFFFFF"/>
        <sz val="10.0"/>
      </rPr>
      <t>Shot(s) volledig preppen</t>
    </r>
    <r>
      <rPr>
        <rFont val="Montserrat"/>
        <b/>
        <color rgb="FFFFFFFF"/>
        <sz val="10.0"/>
      </rPr>
      <t xml:space="preserve">
Moussa op set 16:00, shooting ready 16:45.
Chinabowl opbouwen</t>
    </r>
  </si>
  <si>
    <t>MOUSSA PRIORITY BLOCK  
Shots worden in volgorde van PRIORITEIT gedraaid</t>
  </si>
  <si>
    <t>16:45-19:00</t>
  </si>
  <si>
    <t>Effect: take met glijmiddel
Note: ook andere lichtinstelling
VFX: Kilian foto sturen</t>
  </si>
  <si>
    <t>2.1</t>
  </si>
  <si>
    <t>Wijd
Low</t>
  </si>
  <si>
    <t>Ronde plaat: ligt</t>
  </si>
  <si>
    <t>Statief met tennisbal</t>
  </si>
  <si>
    <t>We lopen heel rustig op moussa af, 
camera beweegt laag over de vloer. 
Moussa zit op de Ronde plaat</t>
  </si>
  <si>
    <t>Moussa</t>
  </si>
  <si>
    <t>Note: ook andere lichtinstelling
VFX: Kilian foto sturen</t>
  </si>
  <si>
    <t>2.3</t>
  </si>
  <si>
    <t>Close
Low</t>
  </si>
  <si>
    <t>Shots op: handen, voeten, gezicht, rug en haar</t>
  </si>
  <si>
    <t>Effect: Weinig scherpte diepte 
zodat we de ballon vaag zien</t>
  </si>
  <si>
    <t>2.5</t>
  </si>
  <si>
    <t>med-close
Eye - level</t>
  </si>
  <si>
    <t>We rijden in op het gezicht van 
Moussa op de as, Moussa draait weg 
van het licht en probeert weg te 
komen. Camera draait met hem mee.</t>
  </si>
  <si>
    <t>VFX: Kilian foto sturen</t>
  </si>
  <si>
    <t>2.6</t>
  </si>
  <si>
    <t>tot
Eye - level</t>
  </si>
  <si>
    <t>Moussa links, Bol rechts ze komen 
dichterbij elkaar we rijden met een 
dutch angle in op de twee</t>
  </si>
  <si>
    <t>4.8</t>
  </si>
  <si>
    <t>Med close
Eye level -&gt; Vogel</t>
  </si>
  <si>
    <t>Moussa aanschouwt wat er voor hem 
gebeurd. Het licht is fel waardoor hij 
nauwlijks kan zien wat er gebeurd. 
Uiteindelijk stijgt Leonor op en we 
zien het licht hoger op zijn gezicht 
vallen.</t>
  </si>
  <si>
    <t>Est. wrap Moussa</t>
  </si>
  <si>
    <t>DD#2   |   20-06-2026</t>
  </si>
  <si>
    <t>4, 5, 6</t>
  </si>
  <si>
    <t>Opbouw</t>
  </si>
  <si>
    <t>Cast styling / make-up</t>
  </si>
  <si>
    <t>Scène 5-lucht
INT. STUDIO, DE LUCHT 
Beiden omhoog</t>
  </si>
  <si>
    <t>11:50-14:15</t>
  </si>
  <si>
    <t>Beide acteurs in de lucht.</t>
  </si>
  <si>
    <t>5.5</t>
  </si>
  <si>
    <t>Wijd</t>
  </si>
  <si>
    <t>Moussa en Leonor hangen dicht bij elkaar en draaien om 
elkaar heen</t>
  </si>
  <si>
    <t>Moussa en Leonor</t>
  </si>
  <si>
    <t xml:space="preserve">Leonor omlaag </t>
  </si>
  <si>
    <t>Moussa in de lucht 
Leonor op de grond</t>
  </si>
  <si>
    <t>5.6</t>
  </si>
  <si>
    <t>Close</t>
  </si>
  <si>
    <t>De gezichten van Moussa en Leonor komen dicht bij elkaar</t>
  </si>
  <si>
    <t>Rig: Leonor</t>
  </si>
  <si>
    <t>Leonor in de lucht
Moussa op de grond</t>
  </si>
  <si>
    <t>5.4</t>
  </si>
  <si>
    <t>Med
OTS</t>
  </si>
  <si>
    <t>we kijken vanuit Moussa ots naar leonor die in de lucht hangt</t>
  </si>
  <si>
    <t>Scène 5-cam
INT. STUDIO, DE RONDE PLAAT
Camera omhoog</t>
  </si>
  <si>
    <t>14:15-15:25</t>
  </si>
  <si>
    <t>Rig: camera (geen acteurs)
Ronde plaat neerleggen</t>
  </si>
  <si>
    <t>Camera in de lucht</t>
  </si>
  <si>
    <t>5.1</t>
  </si>
  <si>
    <t>Med
Topshot</t>
  </si>
  <si>
    <t>Camera aan touwen de 
lucht in.</t>
  </si>
  <si>
    <t>Moussa staat op de Ronde plaat en kijkt omhoog naar 
Leonor.</t>
  </si>
  <si>
    <t>Scène 4
INT. STUDIO, DE RONDE PLAAT 
Leonor omhoog</t>
  </si>
  <si>
    <t>16:10-18:00</t>
  </si>
  <si>
    <t>Leonor in de lucht
Effect: Spelen met effecten</t>
  </si>
  <si>
    <t>4.5</t>
  </si>
  <si>
    <t>close
Kikker</t>
  </si>
  <si>
    <t>Leonor stijgt langzaam op. shot op haar voeten</t>
  </si>
  <si>
    <t>Ombouw: ronde plaat liggend naar staand</t>
  </si>
  <si>
    <t>Leonor in de lucht
VFX</t>
  </si>
  <si>
    <t>4.6</t>
  </si>
  <si>
    <t>tot</t>
  </si>
  <si>
    <t>Statief
Steadicam</t>
  </si>
  <si>
    <t>Leonor staat voor de ronde plaat. We schieten haar nu 
en profil. Ze doet een stap en gaat dan de lucht in. 
EXTRA SHOT: We lopen op haar in en onder haar door.</t>
  </si>
  <si>
    <t>Scène 5
INT. STUDIO, DE LUCHT 
Moussa alleen</t>
  </si>
  <si>
    <t>18:00-19:30</t>
  </si>
  <si>
    <t>Rigwissel: Leonor uit rig (wrap), Moussa in rig
Ronde plaat eruit. 
4.6 en 5.3 = zelfde camerastandpunt</t>
  </si>
  <si>
    <t>Est. wrap Leonor</t>
  </si>
  <si>
    <t>Moussa in de lucht
VFX
zelfde als 4.6</t>
  </si>
  <si>
    <t>5.3</t>
  </si>
  <si>
    <t>tot
En profil</t>
  </si>
  <si>
    <t xml:space="preserve">Moussa en profiel hangt in de lucht, beweegt richting 
Leonor </t>
  </si>
  <si>
    <t>Moussa in de lucht</t>
  </si>
  <si>
    <t>5.2</t>
  </si>
  <si>
    <t>Close
Kikker</t>
  </si>
  <si>
    <t>Moussa kijkt omhoog. Hij stijg op en vlieg over de camera.</t>
  </si>
  <si>
    <t>Scène 6
INT. STUDIO, DE LEEGTE 
Moussa alleen</t>
  </si>
  <si>
    <t>19:30-20:50</t>
  </si>
  <si>
    <t>6.1</t>
  </si>
  <si>
    <t>Wijd
en profiel</t>
  </si>
  <si>
    <t>Moussa valt in slowmotion naar beneden + hangt alleen in de 
ruimte</t>
  </si>
  <si>
    <t>6.2</t>
  </si>
  <si>
    <t>med
en profiel</t>
  </si>
  <si>
    <t>Moussa hangt alleen in de ruimte</t>
  </si>
  <si>
    <t>DD#3   |   21-06-2026</t>
  </si>
  <si>
    <t>Roltrap</t>
  </si>
  <si>
    <t>Mosveld 107, 1031 AD Amsterdam</t>
  </si>
  <si>
    <t>Scène 1
INT. WINKELCENTRUM, DAG 
Roltrap</t>
  </si>
  <si>
    <t>1.1</t>
  </si>
  <si>
    <t>med/tot
Kikvors</t>
  </si>
  <si>
    <t>Low bowl
Wijd</t>
  </si>
  <si>
    <t>Camera kijkt omhoog. We het plafond van het winkelcentrum Dan stapt er iemand overheen en volgen we de begewing naar de roltrap</t>
  </si>
  <si>
    <t>1.2</t>
  </si>
  <si>
    <t>Med close</t>
  </si>
  <si>
    <t>Handheld
Wijd</t>
  </si>
  <si>
    <t>Moussa staat op de roltrap, redelijk in zijn eigen wereld. Hele acties op het einde tilten we naar beneden en snijden we naar scene 2.</t>
  </si>
  <si>
    <r>
      <rPr>
        <rFont val="Montserrat"/>
        <b/>
        <color rgb="FF1C2B3A"/>
        <sz val="9.0"/>
      </rPr>
      <t xml:space="preserve">Effect: </t>
    </r>
    <r>
      <rPr>
        <rFont val="Montserrat"/>
        <color rgb="FF1C2B3A"/>
        <sz val="9.0"/>
      </rPr>
      <t>Directional blur effect 
introduceren</t>
    </r>
  </si>
  <si>
    <t>1.3</t>
  </si>
  <si>
    <t>Med tot</t>
  </si>
  <si>
    <t>Handheld
Lange lens</t>
  </si>
  <si>
    <t>Soort pov van Moussa die Leonor ziet staan op de roltrap</t>
  </si>
  <si>
    <t>1.4</t>
  </si>
  <si>
    <t>Med</t>
  </si>
  <si>
    <t>Handheld</t>
  </si>
  <si>
    <t>Ots van Moussa, hij kijkt om naar Leonor en we vangen zijn blik op.</t>
  </si>
  <si>
    <t>1.5</t>
  </si>
  <si>
    <t>Totaal roltrap</t>
  </si>
  <si>
    <t>1.6</t>
  </si>
  <si>
    <t>Med/close</t>
  </si>
  <si>
    <t>Leonor staat op de roltrap en we zien haar achterhoofd</t>
  </si>
  <si>
    <t>Prelight en plaat klaarleggen</t>
  </si>
  <si>
    <t xml:space="preserve">Topshot testen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</si>
</sst>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29">
    <font>
      <sz val="11.0"/>
      <color theme="1"/>
      <name val="Calibri"/>
      <scheme val="minor"/>
    </font>
    <font>
      <color theme="1"/>
      <name val="Calibri"/>
    </font>
    <font>
      <b/>
      <sz val="21.0"/>
      <color rgb="FFFFFFFF"/>
      <name val="Montserrat"/>
    </font>
    <font/>
    <font>
      <b/>
      <sz val="12.0"/>
      <color rgb="FFBFD0E0"/>
      <name val="Montserrat"/>
    </font>
    <font>
      <b/>
      <sz val="8.0"/>
      <color rgb="FF660000"/>
      <name val="Montserrat"/>
    </font>
    <font>
      <b/>
      <sz val="12.0"/>
      <color rgb="FF1C2B3A"/>
      <name val="Montserrat"/>
    </font>
    <font>
      <sz val="11.0"/>
      <color theme="1"/>
      <name val="Calibri"/>
    </font>
    <font>
      <b/>
      <sz val="7.0"/>
      <color rgb="FF660000"/>
      <name val="Montserrat"/>
    </font>
    <font>
      <b/>
      <sz val="9.0"/>
      <color rgb="FFFFFFFF"/>
      <name val="Montserrat"/>
    </font>
    <font>
      <b/>
      <sz val="10.0"/>
      <color rgb="FF1C2B3A"/>
      <name val="Montserrat"/>
    </font>
    <font>
      <sz val="10.0"/>
      <color rgb="FF1C2B3A"/>
      <name val="Montserrat"/>
    </font>
    <font>
      <b/>
      <sz val="10.0"/>
      <color rgb="FF14385C"/>
      <name val="Montserrat"/>
    </font>
    <font>
      <b/>
      <sz val="9.0"/>
      <color rgb="FF14385C"/>
      <name val="Montserrat"/>
    </font>
    <font>
      <b/>
      <sz val="10.0"/>
      <color rgb="FFFFFFFF"/>
      <name val="Montserrat"/>
    </font>
    <font>
      <sz val="9.0"/>
      <color rgb="FF000000"/>
      <name val="Montserrat"/>
    </font>
    <font>
      <b/>
      <sz val="9.0"/>
      <color rgb="FF000000"/>
      <name val="Montserrat"/>
    </font>
    <font>
      <b/>
      <sz val="10.0"/>
      <color rgb="FF000000"/>
      <name val="Montserrat"/>
    </font>
    <font>
      <sz val="9.0"/>
      <color rgb="FF1C2B3A"/>
      <name val="Montserrat"/>
    </font>
    <font>
      <b/>
      <sz val="9.0"/>
      <color rgb="FF1C2B3A"/>
      <name val="Montserrat"/>
    </font>
    <font>
      <sz val="9.0"/>
      <color rgb="FFF6DCDC"/>
      <name val="Montserrat"/>
    </font>
    <font>
      <b/>
      <sz val="9.0"/>
      <color rgb="FFF6DCDC"/>
      <name val="Montserrat"/>
    </font>
    <font>
      <b/>
      <sz val="10.0"/>
      <color rgb="FF9E2B2B"/>
      <name val="Montserrat"/>
    </font>
    <font>
      <sz val="9.0"/>
      <color rgb="FF9E2B2B"/>
      <name val="Montserrat"/>
    </font>
    <font>
      <b/>
      <sz val="9.0"/>
      <color rgb="FF9E2B2B"/>
      <name val="Montserrat"/>
    </font>
    <font>
      <sz val="9.0"/>
      <color rgb="FF14385C"/>
      <name val="Montserrat"/>
    </font>
    <font>
      <color theme="1"/>
      <name val="Calibri"/>
      <scheme val="minor"/>
    </font>
    <font>
      <b/>
      <sz val="10.0"/>
      <color rgb="FFFF0000"/>
      <name val="Montserrat"/>
    </font>
    <font>
      <b/>
      <sz val="12.0"/>
      <color rgb="FF000000"/>
      <name val="Montserrat"/>
    </font>
  </fonts>
  <fills count="12">
    <fill>
      <patternFill patternType="none"/>
    </fill>
    <fill>
      <patternFill patternType="lightGray"/>
    </fill>
    <fill>
      <patternFill patternType="solid">
        <fgColor rgb="FF000000"/>
        <bgColor rgb="FF000000"/>
      </patternFill>
    </fill>
    <fill>
      <patternFill patternType="solid">
        <fgColor rgb="FF0C2340"/>
        <bgColor rgb="FF0C2340"/>
      </patternFill>
    </fill>
    <fill>
      <patternFill patternType="solid">
        <fgColor rgb="FFFFFFFF"/>
        <bgColor rgb="FFFFFFFF"/>
      </patternFill>
    </fill>
    <fill>
      <patternFill patternType="solid">
        <fgColor rgb="FF14385C"/>
        <bgColor rgb="FF14385C"/>
      </patternFill>
    </fill>
    <fill>
      <patternFill patternType="solid">
        <fgColor rgb="FF1E4E79"/>
        <bgColor rgb="FF1E4E79"/>
      </patternFill>
    </fill>
    <fill>
      <patternFill patternType="solid">
        <fgColor rgb="FFF4CCCC"/>
        <bgColor rgb="FFF4CCCC"/>
      </patternFill>
    </fill>
    <fill>
      <patternFill patternType="solid">
        <fgColor rgb="FFBFD0E0"/>
        <bgColor rgb="FFBFD0E0"/>
      </patternFill>
    </fill>
    <fill>
      <patternFill patternType="solid">
        <fgColor rgb="FFF6DCDC"/>
        <bgColor rgb="FFF6DCDC"/>
      </patternFill>
    </fill>
    <fill>
      <patternFill patternType="solid">
        <fgColor rgb="FF990000"/>
        <bgColor rgb="FF990000"/>
      </patternFill>
    </fill>
    <fill>
      <patternFill patternType="solid">
        <fgColor rgb="FF7A1F1F"/>
        <bgColor rgb="FF7A1F1F"/>
      </patternFill>
    </fill>
  </fills>
  <borders count="30">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2" fontId="1" numFmtId="0" xfId="0" applyFill="1" applyFont="1"/>
    <xf borderId="1" fillId="3" fontId="2" numFmtId="0" xfId="0" applyAlignment="1" applyBorder="1" applyFill="1" applyFont="1">
      <alignment horizontal="left" vertical="center"/>
    </xf>
    <xf borderId="2" fillId="0" fontId="3" numFmtId="0" xfId="0" applyBorder="1" applyFont="1"/>
    <xf borderId="3" fillId="3" fontId="4" numFmtId="0" xfId="0" applyAlignment="1" applyBorder="1" applyFont="1">
      <alignment horizontal="left" vertical="center"/>
    </xf>
    <xf borderId="4" fillId="0" fontId="3" numFmtId="0" xfId="0" applyBorder="1" applyFont="1"/>
    <xf borderId="5" fillId="0" fontId="3" numFmtId="0" xfId="0" applyBorder="1" applyFont="1"/>
    <xf borderId="6" fillId="4" fontId="5" numFmtId="0" xfId="0" applyAlignment="1" applyBorder="1" applyFill="1" applyFont="1">
      <alignment horizontal="left" vertical="center"/>
    </xf>
    <xf borderId="7" fillId="0" fontId="3" numFmtId="0" xfId="0" applyBorder="1" applyFont="1"/>
    <xf borderId="8" fillId="0" fontId="3" numFmtId="0" xfId="0" applyBorder="1" applyFont="1"/>
    <xf borderId="9" fillId="4" fontId="5" numFmtId="0" xfId="0" applyAlignment="1" applyBorder="1" applyFont="1">
      <alignment horizontal="left" vertical="center"/>
    </xf>
    <xf borderId="10" fillId="0" fontId="3" numFmtId="0" xfId="0" applyBorder="1" applyFont="1"/>
    <xf borderId="6" fillId="4" fontId="6" numFmtId="0" xfId="0" applyAlignment="1" applyBorder="1" applyFont="1">
      <alignment horizontal="left" vertical="center"/>
    </xf>
    <xf borderId="9" fillId="4" fontId="6" numFmtId="164" xfId="0" applyAlignment="1" applyBorder="1" applyFont="1" applyNumberFormat="1">
      <alignment horizontal="left" vertical="center"/>
    </xf>
    <xf borderId="9" fillId="4" fontId="6" numFmtId="0" xfId="0" applyAlignment="1" applyBorder="1" applyFont="1">
      <alignment horizontal="left" vertical="center"/>
    </xf>
    <xf borderId="0" fillId="2" fontId="7" numFmtId="164" xfId="0" applyAlignment="1" applyFont="1" applyNumberFormat="1">
      <alignment vertical="bottom"/>
    </xf>
    <xf borderId="9" fillId="4" fontId="8" numFmtId="0" xfId="0" applyAlignment="1" applyBorder="1" applyFont="1">
      <alignment horizontal="left" vertical="center"/>
    </xf>
    <xf borderId="0" fillId="0" fontId="7" numFmtId="0" xfId="0" applyFont="1"/>
    <xf borderId="11" fillId="5" fontId="9" numFmtId="0" xfId="0" applyAlignment="1" applyBorder="1" applyFill="1" applyFont="1">
      <alignment horizontal="center" vertical="center"/>
    </xf>
    <xf borderId="12" fillId="5" fontId="9" numFmtId="0" xfId="0" applyAlignment="1" applyBorder="1" applyFont="1">
      <alignment horizontal="center" vertical="center"/>
    </xf>
    <xf borderId="3" fillId="5" fontId="9" numFmtId="0" xfId="0" applyAlignment="1" applyBorder="1" applyFont="1">
      <alignment horizontal="left" vertical="center"/>
    </xf>
    <xf borderId="13" fillId="4" fontId="10" numFmtId="20" xfId="0" applyAlignment="1" applyBorder="1" applyFont="1" applyNumberFormat="1">
      <alignment horizontal="center" vertical="center"/>
    </xf>
    <xf borderId="14" fillId="4" fontId="10" numFmtId="20" xfId="0" applyAlignment="1" applyBorder="1" applyFont="1" applyNumberFormat="1">
      <alignment horizontal="center" vertical="center"/>
    </xf>
    <xf borderId="9" fillId="4" fontId="10" numFmtId="0" xfId="0" applyAlignment="1" applyBorder="1" applyFont="1">
      <alignment horizontal="left" vertical="center"/>
    </xf>
    <xf borderId="13" fillId="4" fontId="11" numFmtId="20" xfId="0" applyAlignment="1" applyBorder="1" applyFont="1" applyNumberFormat="1">
      <alignment horizontal="center" vertical="center"/>
    </xf>
    <xf borderId="14" fillId="4" fontId="11" numFmtId="20" xfId="0" applyAlignment="1" applyBorder="1" applyFont="1" applyNumberFormat="1">
      <alignment horizontal="center" vertical="center"/>
    </xf>
    <xf borderId="9" fillId="4" fontId="11" numFmtId="0" xfId="0" applyAlignment="1" applyBorder="1" applyFont="1">
      <alignment horizontal="left" readingOrder="0" vertical="center"/>
    </xf>
    <xf borderId="15" fillId="4" fontId="10" numFmtId="20" xfId="0" applyAlignment="1" applyBorder="1" applyFont="1" applyNumberFormat="1">
      <alignment horizontal="center" vertical="center"/>
    </xf>
    <xf borderId="16" fillId="4" fontId="10" numFmtId="20" xfId="0" applyAlignment="1" applyBorder="1" applyFont="1" applyNumberFormat="1">
      <alignment horizontal="center" vertical="center"/>
    </xf>
    <xf borderId="17" fillId="4" fontId="10" numFmtId="0" xfId="0" applyAlignment="1" applyBorder="1" applyFont="1">
      <alignment horizontal="left" vertical="center"/>
    </xf>
    <xf borderId="18" fillId="0" fontId="3" numFmtId="0" xfId="0" applyBorder="1" applyFont="1"/>
    <xf borderId="19" fillId="0" fontId="3" numFmtId="0" xfId="0" applyBorder="1" applyFont="1"/>
    <xf borderId="11" fillId="6" fontId="9" numFmtId="0" xfId="0" applyAlignment="1" applyBorder="1" applyFill="1" applyFont="1">
      <alignment horizontal="center" shrinkToFit="0" vertical="center" wrapText="1"/>
    </xf>
    <xf borderId="12" fillId="6" fontId="9" numFmtId="0" xfId="0" applyAlignment="1" applyBorder="1" applyFont="1">
      <alignment horizontal="center" shrinkToFit="0" vertical="center" wrapText="1"/>
    </xf>
    <xf borderId="12" fillId="6" fontId="9" numFmtId="0" xfId="0" applyAlignment="1" applyBorder="1" applyFont="1">
      <alignment horizontal="left" shrinkToFit="0" vertical="center" wrapText="1"/>
    </xf>
    <xf borderId="20" fillId="6" fontId="9" numFmtId="0" xfId="0" applyAlignment="1" applyBorder="1" applyFont="1">
      <alignment horizontal="center" shrinkToFit="0" vertical="center" wrapText="1"/>
    </xf>
    <xf borderId="13" fillId="5" fontId="12" numFmtId="0" xfId="0" applyAlignment="1" applyBorder="1" applyFont="1">
      <alignment horizontal="center" shrinkToFit="0" vertical="center" wrapText="1"/>
    </xf>
    <xf borderId="14" fillId="5" fontId="13" numFmtId="20" xfId="0" applyAlignment="1" applyBorder="1" applyFont="1" applyNumberFormat="1">
      <alignment horizontal="center" shrinkToFit="0" vertical="center" wrapText="1"/>
    </xf>
    <xf borderId="14" fillId="5" fontId="14" numFmtId="0" xfId="0" applyAlignment="1" applyBorder="1" applyFont="1">
      <alignment horizontal="left" shrinkToFit="0" vertical="center" wrapText="1"/>
    </xf>
    <xf borderId="14" fillId="5" fontId="14" numFmtId="0" xfId="0" applyAlignment="1" applyBorder="1" applyFont="1">
      <alignment horizontal="center" shrinkToFit="0" vertical="center" wrapText="1"/>
    </xf>
    <xf borderId="21" fillId="5" fontId="14" numFmtId="0" xfId="0" applyAlignment="1" applyBorder="1" applyFont="1">
      <alignment horizontal="left" shrinkToFit="0" vertical="center" wrapText="1"/>
    </xf>
    <xf borderId="13" fillId="7" fontId="15" numFmtId="0" xfId="0" applyAlignment="1" applyBorder="1" applyFill="1" applyFont="1">
      <alignment horizontal="center" readingOrder="0" shrinkToFit="0" vertical="center" wrapText="1"/>
    </xf>
    <xf borderId="14" fillId="7" fontId="16" numFmtId="20" xfId="0" applyAlignment="1" applyBorder="1" applyFont="1" applyNumberFormat="1">
      <alignment horizontal="center" shrinkToFit="0" vertical="center" wrapText="1"/>
    </xf>
    <xf borderId="14" fillId="7" fontId="17" numFmtId="0" xfId="0" applyAlignment="1" applyBorder="1" applyFont="1">
      <alignment horizontal="left" shrinkToFit="0" vertical="center" wrapText="1"/>
    </xf>
    <xf borderId="14" fillId="7" fontId="15" numFmtId="0" xfId="0" applyAlignment="1" applyBorder="1" applyFont="1">
      <alignment horizontal="center" shrinkToFit="0" vertical="center" wrapText="1"/>
    </xf>
    <xf borderId="14" fillId="7" fontId="16" numFmtId="0" xfId="0" applyAlignment="1" applyBorder="1" applyFont="1">
      <alignment horizontal="left" shrinkToFit="0" vertical="center" wrapText="1"/>
    </xf>
    <xf borderId="14" fillId="7" fontId="15" numFmtId="0" xfId="0" applyAlignment="1" applyBorder="1" applyFont="1">
      <alignment horizontal="left" shrinkToFit="0" vertical="center" wrapText="1"/>
    </xf>
    <xf borderId="14" fillId="7" fontId="16" numFmtId="0" xfId="0" applyAlignment="1" applyBorder="1" applyFont="1">
      <alignment horizontal="left" readingOrder="0" shrinkToFit="0" vertical="center" wrapText="1"/>
    </xf>
    <xf borderId="21" fillId="7" fontId="15" numFmtId="0" xfId="0" applyAlignment="1" applyBorder="1" applyFont="1">
      <alignment horizontal="left" shrinkToFit="0" vertical="center" wrapText="1"/>
    </xf>
    <xf borderId="13" fillId="8" fontId="18" numFmtId="0" xfId="0" applyAlignment="1" applyBorder="1" applyFill="1" applyFont="1">
      <alignment horizontal="center" readingOrder="0" shrinkToFit="0" vertical="center" wrapText="1"/>
    </xf>
    <xf borderId="14" fillId="8" fontId="19" numFmtId="20" xfId="0" applyAlignment="1" applyBorder="1" applyFont="1" applyNumberFormat="1">
      <alignment horizontal="center" shrinkToFit="0" vertical="center" wrapText="1"/>
    </xf>
    <xf borderId="14" fillId="4" fontId="18" numFmtId="0" xfId="0" applyAlignment="1" applyBorder="1" applyFont="1">
      <alignment horizontal="left" shrinkToFit="0" vertical="center" wrapText="1"/>
    </xf>
    <xf borderId="14" fillId="4" fontId="12" numFmtId="0" xfId="0" applyAlignment="1" applyBorder="1" applyFont="1">
      <alignment horizontal="center" shrinkToFit="0" vertical="center" wrapText="1"/>
    </xf>
    <xf borderId="14" fillId="4" fontId="19" numFmtId="0" xfId="0" applyAlignment="1" applyBorder="1" applyFont="1">
      <alignment horizontal="left" shrinkToFit="0" vertical="center" wrapText="1"/>
    </xf>
    <xf borderId="21" fillId="4" fontId="18" numFmtId="0" xfId="0" applyAlignment="1" applyBorder="1" applyFont="1">
      <alignment horizontal="left" shrinkToFit="0" vertical="center" wrapText="1"/>
    </xf>
    <xf borderId="13" fillId="9" fontId="20" numFmtId="0" xfId="0" applyAlignment="1" applyBorder="1" applyFill="1" applyFont="1">
      <alignment horizontal="center" shrinkToFit="0" vertical="center" wrapText="1"/>
    </xf>
    <xf borderId="13" fillId="9" fontId="21" numFmtId="20" xfId="0" applyAlignment="1" applyBorder="1" applyFont="1" applyNumberFormat="1">
      <alignment horizontal="center" shrinkToFit="0" vertical="center" wrapText="1"/>
    </xf>
    <xf borderId="14" fillId="9" fontId="22" numFmtId="0" xfId="0" applyAlignment="1" applyBorder="1" applyFont="1">
      <alignment horizontal="left" readingOrder="0" shrinkToFit="0" vertical="center" wrapText="1"/>
    </xf>
    <xf borderId="14" fillId="9" fontId="23" numFmtId="0" xfId="0" applyAlignment="1" applyBorder="1" applyFont="1">
      <alignment horizontal="center" shrinkToFit="0" vertical="center" wrapText="1"/>
    </xf>
    <xf borderId="14" fillId="9" fontId="24" numFmtId="0" xfId="0" applyAlignment="1" applyBorder="1" applyFont="1">
      <alignment horizontal="left" shrinkToFit="0" vertical="center" wrapText="1"/>
    </xf>
    <xf borderId="14" fillId="9" fontId="23" numFmtId="0" xfId="0" applyAlignment="1" applyBorder="1" applyFont="1">
      <alignment horizontal="left" shrinkToFit="0" vertical="center" wrapText="1"/>
    </xf>
    <xf borderId="21" fillId="9" fontId="23" numFmtId="0" xfId="0" applyAlignment="1" applyBorder="1" applyFont="1">
      <alignment horizontal="left" shrinkToFit="0" vertical="center" wrapText="1"/>
    </xf>
    <xf borderId="13" fillId="9" fontId="24" numFmtId="20" xfId="0" applyAlignment="1" applyBorder="1" applyFont="1" applyNumberFormat="1">
      <alignment horizontal="center" shrinkToFit="0" vertical="center" wrapText="1"/>
    </xf>
    <xf borderId="14" fillId="7" fontId="17" numFmtId="0" xfId="0" applyAlignment="1" applyBorder="1" applyFont="1">
      <alignment horizontal="left" readingOrder="0" shrinkToFit="0" vertical="center" wrapText="1"/>
    </xf>
    <xf borderId="13" fillId="8" fontId="18" numFmtId="0" xfId="0" applyAlignment="1" applyBorder="1" applyFont="1">
      <alignment horizontal="center" shrinkToFit="0" vertical="center" wrapText="1"/>
    </xf>
    <xf borderId="14" fillId="4" fontId="18" numFmtId="0" xfId="0" applyAlignment="1" applyBorder="1" applyFont="1">
      <alignment horizontal="left" readingOrder="0" shrinkToFit="0" vertical="center" wrapText="1"/>
    </xf>
    <xf borderId="22" fillId="8" fontId="18" numFmtId="0" xfId="0" applyAlignment="1" applyBorder="1" applyFont="1">
      <alignment horizontal="center" readingOrder="0" shrinkToFit="0" vertical="center" wrapText="1"/>
    </xf>
    <xf borderId="23" fillId="4" fontId="18" numFmtId="0" xfId="0" applyAlignment="1" applyBorder="1" applyFont="1">
      <alignment horizontal="left" shrinkToFit="0" vertical="center" wrapText="1"/>
    </xf>
    <xf borderId="23" fillId="4" fontId="12" numFmtId="0" xfId="0" applyAlignment="1" applyBorder="1" applyFont="1">
      <alignment horizontal="center" shrinkToFit="0" vertical="center" wrapText="1"/>
    </xf>
    <xf borderId="23" fillId="4" fontId="19" numFmtId="0" xfId="0" applyAlignment="1" applyBorder="1" applyFont="1">
      <alignment horizontal="left" shrinkToFit="0" vertical="center" wrapText="1"/>
    </xf>
    <xf borderId="24" fillId="4" fontId="18" numFmtId="0" xfId="0" applyAlignment="1" applyBorder="1" applyFont="1">
      <alignment horizontal="left" shrinkToFit="0" vertical="center" wrapText="1"/>
    </xf>
    <xf borderId="13" fillId="10" fontId="14" numFmtId="0" xfId="0" applyAlignment="1" applyBorder="1" applyFill="1" applyFont="1">
      <alignment horizontal="center" vertical="center"/>
    </xf>
    <xf borderId="13" fillId="10" fontId="14" numFmtId="20" xfId="0" applyAlignment="1" applyBorder="1" applyFont="1" applyNumberFormat="1">
      <alignment horizontal="center" vertical="center"/>
    </xf>
    <xf borderId="14" fillId="10" fontId="14" numFmtId="0" xfId="0" applyAlignment="1" applyBorder="1" applyFont="1">
      <alignment horizontal="left" vertical="center"/>
    </xf>
    <xf borderId="14" fillId="10" fontId="14" numFmtId="0" xfId="0" applyAlignment="1" applyBorder="1" applyFont="1">
      <alignment horizontal="center" vertical="center"/>
    </xf>
    <xf borderId="21" fillId="10" fontId="14" numFmtId="0" xfId="0" applyAlignment="1" applyBorder="1" applyFont="1">
      <alignment horizontal="left" vertical="center"/>
    </xf>
    <xf borderId="13" fillId="10" fontId="14" numFmtId="0" xfId="0" applyAlignment="1" applyBorder="1" applyFont="1">
      <alignment horizontal="center" readingOrder="0" vertical="center"/>
    </xf>
    <xf borderId="13" fillId="10" fontId="14" numFmtId="20" xfId="0" applyAlignment="1" applyBorder="1" applyFont="1" applyNumberFormat="1">
      <alignment horizontal="center" readingOrder="0" vertical="center"/>
    </xf>
    <xf borderId="14" fillId="10" fontId="14" numFmtId="0" xfId="0" applyAlignment="1" applyBorder="1" applyFont="1">
      <alignment horizontal="left" readingOrder="0" vertical="center"/>
    </xf>
    <xf borderId="14" fillId="5" fontId="14" numFmtId="0" xfId="0" applyAlignment="1" applyBorder="1" applyFont="1">
      <alignment horizontal="left" readingOrder="0" shrinkToFit="0" vertical="center" wrapText="1"/>
    </xf>
    <xf borderId="14" fillId="4" fontId="13" numFmtId="0" xfId="0" applyAlignment="1" applyBorder="1" applyFont="1">
      <alignment horizontal="center" shrinkToFit="0" vertical="center" wrapText="1"/>
    </xf>
    <xf borderId="14" fillId="4" fontId="25" numFmtId="0" xfId="0" applyAlignment="1" applyBorder="1" applyFont="1">
      <alignment horizontal="left" shrinkToFit="0" vertical="center" wrapText="1"/>
    </xf>
    <xf borderId="13" fillId="9" fontId="23" numFmtId="0" xfId="0" applyAlignment="1" applyBorder="1" applyFont="1">
      <alignment horizontal="center" shrinkToFit="0" vertical="center" wrapText="1"/>
    </xf>
    <xf borderId="14" fillId="9" fontId="24" numFmtId="20" xfId="0" applyAlignment="1" applyBorder="1" applyFont="1" applyNumberFormat="1">
      <alignment horizontal="center" shrinkToFit="0" vertical="center" wrapText="1"/>
    </xf>
    <xf borderId="14" fillId="9" fontId="22" numFmtId="0" xfId="0" applyAlignment="1" applyBorder="1" applyFont="1">
      <alignment horizontal="left" shrinkToFit="0" vertical="center" wrapText="1"/>
    </xf>
    <xf borderId="14" fillId="11" fontId="14" numFmtId="0" xfId="0" applyAlignment="1" applyBorder="1" applyFill="1" applyFont="1">
      <alignment horizontal="center" vertical="center"/>
    </xf>
    <xf borderId="14" fillId="11" fontId="9" numFmtId="20" xfId="0" applyAlignment="1" applyBorder="1" applyFont="1" applyNumberFormat="1">
      <alignment horizontal="center" vertical="center"/>
    </xf>
    <xf borderId="14" fillId="11" fontId="14" numFmtId="0" xfId="0" applyAlignment="1" applyBorder="1" applyFont="1">
      <alignment horizontal="left" vertical="center"/>
    </xf>
    <xf borderId="25" fillId="11" fontId="14" numFmtId="0" xfId="0" applyAlignment="1" applyBorder="1" applyFont="1">
      <alignment horizontal="center" vertical="center"/>
    </xf>
    <xf borderId="25" fillId="11" fontId="14" numFmtId="0" xfId="0" applyAlignment="1" applyBorder="1" applyFont="1">
      <alignment horizontal="left" vertical="center"/>
    </xf>
    <xf borderId="26" fillId="11" fontId="14" numFmtId="0" xfId="0" applyAlignment="1" applyBorder="1" applyFont="1">
      <alignment horizontal="center" vertical="center"/>
    </xf>
    <xf borderId="27" fillId="11" fontId="14" numFmtId="0" xfId="0" applyAlignment="1" applyBorder="1" applyFont="1">
      <alignment horizontal="center" shrinkToFit="0" vertical="center" wrapText="1"/>
    </xf>
    <xf borderId="28" fillId="11" fontId="14" numFmtId="0" xfId="0" applyAlignment="1" applyBorder="1" applyFont="1">
      <alignment horizontal="center" shrinkToFit="0" vertical="center" wrapText="1"/>
    </xf>
    <xf borderId="28" fillId="11" fontId="14" numFmtId="0" xfId="0" applyAlignment="1" applyBorder="1" applyFont="1">
      <alignment horizontal="left" shrinkToFit="0" vertical="center" wrapText="1"/>
    </xf>
    <xf borderId="29" fillId="11" fontId="14" numFmtId="0" xfId="0" applyAlignment="1" applyBorder="1" applyFont="1">
      <alignment horizontal="center" shrinkToFit="0" vertical="center" wrapText="1"/>
    </xf>
    <xf borderId="0" fillId="2" fontId="26" numFmtId="0" xfId="0" applyFont="1"/>
    <xf borderId="0" fillId="0" fontId="1" numFmtId="0" xfId="0" applyFont="1"/>
    <xf borderId="0" fillId="0" fontId="7" numFmtId="164" xfId="0" applyAlignment="1" applyFont="1" applyNumberFormat="1">
      <alignment vertical="bottom"/>
    </xf>
    <xf borderId="9" fillId="4" fontId="11" numFmtId="0" xfId="0" applyAlignment="1" applyBorder="1" applyFont="1">
      <alignment horizontal="left" vertical="center"/>
    </xf>
    <xf borderId="14" fillId="5" fontId="14" numFmtId="0" xfId="0" applyAlignment="1" applyBorder="1" applyFont="1">
      <alignment horizontal="center" readingOrder="0" shrinkToFit="0" vertical="center" wrapText="1"/>
    </xf>
    <xf borderId="14" fillId="5" fontId="27" numFmtId="0" xfId="0" applyAlignment="1" applyBorder="1" applyFont="1">
      <alignment horizontal="left" readingOrder="0" shrinkToFit="0" vertical="center" wrapText="1"/>
    </xf>
    <xf borderId="21" fillId="5" fontId="14" numFmtId="0" xfId="0" applyAlignment="1" applyBorder="1" applyFont="1">
      <alignment horizontal="center" shrinkToFit="0" vertical="center" wrapText="1"/>
    </xf>
    <xf borderId="13" fillId="7" fontId="15" numFmtId="0" xfId="0" applyAlignment="1" applyBorder="1" applyFont="1">
      <alignment horizontal="center" shrinkToFit="0" vertical="center" wrapText="1"/>
    </xf>
    <xf borderId="14" fillId="10" fontId="9" numFmtId="20" xfId="0" applyAlignment="1" applyBorder="1" applyFont="1" applyNumberFormat="1">
      <alignment horizontal="center" vertical="center"/>
    </xf>
    <xf borderId="22" fillId="8" fontId="18" numFmtId="0" xfId="0" applyAlignment="1" applyBorder="1" applyFont="1">
      <alignment horizontal="center" shrinkToFit="0" vertical="center" wrapText="1"/>
    </xf>
    <xf borderId="23" fillId="8" fontId="19" numFmtId="20" xfId="0" applyAlignment="1" applyBorder="1" applyFont="1" applyNumberFormat="1">
      <alignment horizontal="center" shrinkToFit="0" vertical="center" wrapText="1"/>
    </xf>
    <xf borderId="9" fillId="4" fontId="5" numFmtId="164" xfId="0" applyBorder="1" applyFont="1" applyNumberFormat="1"/>
    <xf borderId="9" fillId="4" fontId="28" numFmtId="0" xfId="0" applyAlignment="1" applyBorder="1" applyFont="1">
      <alignment horizontal="left"/>
    </xf>
    <xf borderId="9" fillId="4" fontId="6" numFmtId="0" xfId="0" applyBorder="1" applyFont="1"/>
    <xf borderId="7" fillId="4" fontId="5" numFmtId="0" xfId="0" applyAlignment="1" applyBorder="1" applyFont="1">
      <alignment horizontal="left" vertical="center"/>
    </xf>
    <xf borderId="7" fillId="4" fontId="8" numFmtId="0" xfId="0" applyAlignment="1" applyBorder="1" applyFont="1">
      <alignment horizontal="left" vertical="center"/>
    </xf>
    <xf borderId="9" fillId="4" fontId="8" numFmtId="164" xfId="0" applyBorder="1" applyFont="1" applyNumberFormat="1"/>
    <xf borderId="14" fillId="4" fontId="18" numFmtId="0" xfId="0" applyAlignment="1" applyBorder="1" applyFont="1">
      <alignment horizontal="center" shrinkToFit="0" vertical="center" wrapText="1"/>
    </xf>
    <xf borderId="21" fillId="4" fontId="18" numFmtId="0" xfId="0" applyAlignment="1" applyBorder="1" applyFont="1">
      <alignment horizontal="center" shrinkToFit="0" vertical="center" wrapText="1"/>
    </xf>
    <xf borderId="21" fillId="10" fontId="14" numFmtId="0" xfId="0" applyAlignment="1" applyBorder="1" applyFont="1">
      <alignment horizontal="center" vertical="center"/>
    </xf>
    <xf borderId="23" fillId="4" fontId="18" numFmtId="0" xfId="0" applyAlignment="1" applyBorder="1" applyFont="1">
      <alignment horizontal="center" shrinkToFit="0" vertical="center" wrapText="1"/>
    </xf>
    <xf borderId="24" fillId="4" fontId="18" numFmtId="0" xfId="0" applyAlignment="1" applyBorder="1" applyFont="1">
      <alignment horizontal="center" shrinkToFit="0" vertical="center" wrapText="1"/>
    </xf>
    <xf borderId="0" fillId="0" fontId="2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7.0" topLeftCell="A18" activePane="bottomLeft" state="frozen"/>
      <selection activeCell="B19" sqref="B19" pane="bottomLeft"/>
    </sheetView>
  </sheetViews>
  <sheetFormatPr customHeight="1" defaultColWidth="14.43" defaultRowHeight="15.0"/>
  <cols>
    <col customWidth="1" min="1" max="1" width="1.57"/>
    <col customWidth="1" min="2" max="2" width="9.0"/>
    <col customWidth="1" min="3" max="4" width="8.43"/>
    <col customWidth="1" min="5" max="5" width="34.0"/>
    <col customWidth="1" min="6" max="6" width="5.57"/>
    <col customWidth="1" min="7" max="7" width="13.43"/>
    <col customWidth="1" min="8" max="8" width="14.0"/>
    <col customWidth="1" min="9" max="9" width="17.0"/>
    <col customWidth="1" min="10" max="10" width="11.71"/>
    <col customWidth="1" min="11" max="11" width="33.0"/>
    <col customWidth="1" min="12" max="12" width="16.0"/>
    <col customWidth="1" min="13" max="13" width="1.43"/>
  </cols>
  <sheetData>
    <row r="1" ht="9.0" customHeight="1">
      <c r="A1" s="1"/>
      <c r="B1" s="1"/>
      <c r="C1" s="1"/>
      <c r="D1" s="1"/>
      <c r="E1" s="1"/>
      <c r="F1" s="1"/>
      <c r="G1" s="1"/>
      <c r="H1" s="1"/>
      <c r="I1" s="1"/>
      <c r="J1" s="1"/>
      <c r="K1" s="1"/>
      <c r="L1" s="1"/>
      <c r="M1" s="1"/>
    </row>
    <row r="2" ht="37.5" customHeight="1">
      <c r="A2" s="1"/>
      <c r="B2" s="2" t="s">
        <v>0</v>
      </c>
      <c r="C2" s="3"/>
      <c r="D2" s="4" t="s">
        <v>1</v>
      </c>
      <c r="E2" s="5"/>
      <c r="F2" s="5"/>
      <c r="G2" s="5"/>
      <c r="H2" s="5"/>
      <c r="I2" s="5"/>
      <c r="J2" s="5"/>
      <c r="K2" s="5"/>
      <c r="L2" s="6"/>
      <c r="M2" s="1">
        <v>60.0</v>
      </c>
    </row>
    <row r="3" ht="9.75" customHeight="1">
      <c r="A3" s="1"/>
      <c r="B3" s="7" t="s">
        <v>2</v>
      </c>
      <c r="C3" s="8"/>
      <c r="D3" s="8"/>
      <c r="E3" s="9"/>
      <c r="F3" s="10" t="s">
        <v>3</v>
      </c>
      <c r="G3" s="8"/>
      <c r="H3" s="8"/>
      <c r="I3" s="9"/>
      <c r="J3" s="10" t="s">
        <v>4</v>
      </c>
      <c r="K3" s="8"/>
      <c r="L3" s="11"/>
      <c r="M3" s="1">
        <v>30.0</v>
      </c>
    </row>
    <row r="4" ht="15.0" customHeight="1">
      <c r="A4" s="1"/>
      <c r="B4" s="12" t="s">
        <v>5</v>
      </c>
      <c r="C4" s="8"/>
      <c r="D4" s="8"/>
      <c r="E4" s="9"/>
      <c r="F4" s="13">
        <f>$B$15-$M$2/1440</f>
        <v>0.375</v>
      </c>
      <c r="G4" s="8"/>
      <c r="H4" s="8"/>
      <c r="I4" s="9"/>
      <c r="J4" s="14" t="s">
        <v>6</v>
      </c>
      <c r="K4" s="8"/>
      <c r="L4" s="11"/>
      <c r="M4" s="1">
        <v>15.0</v>
      </c>
    </row>
    <row r="5" ht="9.75" customHeight="1">
      <c r="A5" s="1"/>
      <c r="B5" s="7" t="s">
        <v>7</v>
      </c>
      <c r="C5" s="8"/>
      <c r="D5" s="8"/>
      <c r="E5" s="9"/>
      <c r="F5" s="10" t="s">
        <v>8</v>
      </c>
      <c r="G5" s="8"/>
      <c r="H5" s="8"/>
      <c r="I5" s="9"/>
      <c r="J5" s="10" t="s">
        <v>9</v>
      </c>
      <c r="K5" s="8"/>
      <c r="L5" s="11"/>
      <c r="M5" s="1"/>
    </row>
    <row r="6" ht="15.0" customHeight="1">
      <c r="A6" s="1"/>
      <c r="B6" s="12" t="s">
        <v>10</v>
      </c>
      <c r="C6" s="8"/>
      <c r="D6" s="8"/>
      <c r="E6" s="9"/>
      <c r="F6" s="13">
        <f>$B$15</f>
        <v>0.4166666667</v>
      </c>
      <c r="G6" s="8"/>
      <c r="H6" s="8"/>
      <c r="I6" s="9"/>
      <c r="J6" s="14" t="s">
        <v>11</v>
      </c>
      <c r="K6" s="8"/>
      <c r="L6" s="11"/>
      <c r="M6" s="15">
        <f t="array" ref="M6">IFERROR(MIN(IF(ISNUMBER(SEARCH("Moussa",L18:L40)),C18:C40,"")),"")</f>
        <v>0.7118055556</v>
      </c>
    </row>
    <row r="7" ht="9.75" customHeight="1">
      <c r="A7" s="1"/>
      <c r="B7" s="7" t="s">
        <v>12</v>
      </c>
      <c r="C7" s="8"/>
      <c r="D7" s="8"/>
      <c r="E7" s="9"/>
      <c r="F7" s="10" t="s">
        <v>13</v>
      </c>
      <c r="G7" s="8"/>
      <c r="H7" s="8"/>
      <c r="I7" s="9"/>
      <c r="J7" s="10" t="s">
        <v>14</v>
      </c>
      <c r="K7" s="8"/>
      <c r="L7" s="11"/>
      <c r="M7" s="15">
        <f t="array" ref="M7">IFERROR(MIN(IF(ISNUMBER(SEARCH("Leonor",L18:L40)),C18:C40,"")),"")</f>
        <v>0.4166666667</v>
      </c>
    </row>
    <row r="8" ht="15.0" customHeight="1">
      <c r="A8" s="1"/>
      <c r="B8" s="12" t="s">
        <v>15</v>
      </c>
      <c r="C8" s="8"/>
      <c r="D8" s="8"/>
      <c r="E8" s="9"/>
      <c r="F8" s="13">
        <f>IFERROR(C29,"")</f>
        <v>0.5694444444</v>
      </c>
      <c r="G8" s="8"/>
      <c r="H8" s="8"/>
      <c r="I8" s="9"/>
      <c r="J8" s="14" t="s">
        <v>16</v>
      </c>
      <c r="K8" s="8"/>
      <c r="L8" s="11"/>
      <c r="M8" s="1"/>
    </row>
    <row r="9" ht="9.75" customHeight="1">
      <c r="A9" s="1"/>
      <c r="B9" s="7" t="s">
        <v>17</v>
      </c>
      <c r="C9" s="8"/>
      <c r="D9" s="8"/>
      <c r="E9" s="9"/>
      <c r="F9" s="16" t="s">
        <v>18</v>
      </c>
      <c r="G9" s="8"/>
      <c r="H9" s="8"/>
      <c r="I9" s="9"/>
      <c r="J9" s="16" t="s">
        <v>19</v>
      </c>
      <c r="K9" s="8"/>
      <c r="L9" s="11"/>
      <c r="M9" s="1"/>
    </row>
    <row r="10" ht="15.0" customHeight="1">
      <c r="A10" s="1"/>
      <c r="B10" s="12" t="s">
        <v>20</v>
      </c>
      <c r="C10" s="8"/>
      <c r="D10" s="8"/>
      <c r="E10" s="9"/>
      <c r="F10" s="13">
        <f>IFERROR(D39,"")</f>
        <v>0.7916666667</v>
      </c>
      <c r="G10" s="8"/>
      <c r="H10" s="8"/>
      <c r="I10" s="9"/>
      <c r="J10" s="13">
        <f>IFERROR(D39-($B$15-$M$2/1440),"")</f>
        <v>0.4166666667</v>
      </c>
      <c r="K10" s="8"/>
      <c r="L10" s="9"/>
      <c r="M10" s="1"/>
    </row>
    <row r="11" ht="6.75" customHeight="1">
      <c r="A11" s="1"/>
      <c r="B11" s="17"/>
      <c r="C11" s="17"/>
      <c r="D11" s="17"/>
      <c r="E11" s="17"/>
      <c r="F11" s="17"/>
      <c r="G11" s="17"/>
      <c r="H11" s="17"/>
      <c r="I11" s="17"/>
      <c r="J11" s="17"/>
      <c r="K11" s="17"/>
      <c r="L11" s="17"/>
      <c r="M11" s="1"/>
    </row>
    <row r="12" ht="15.75" customHeight="1">
      <c r="A12" s="1"/>
      <c r="B12" s="18" t="s">
        <v>21</v>
      </c>
      <c r="C12" s="19" t="s">
        <v>22</v>
      </c>
      <c r="D12" s="19" t="s">
        <v>23</v>
      </c>
      <c r="E12" s="20" t="s">
        <v>24</v>
      </c>
      <c r="F12" s="5"/>
      <c r="G12" s="5"/>
      <c r="H12" s="5"/>
      <c r="I12" s="5"/>
      <c r="J12" s="5"/>
      <c r="K12" s="5"/>
      <c r="L12" s="6"/>
      <c r="M12" s="1"/>
    </row>
    <row r="13">
      <c r="A13" s="1"/>
      <c r="B13" s="21">
        <f t="shared" ref="B13:B14" si="1">$B$15-$M$2/1440</f>
        <v>0.375</v>
      </c>
      <c r="C13" s="22"/>
      <c r="D13" s="22"/>
      <c r="E13" s="23" t="s">
        <v>25</v>
      </c>
      <c r="F13" s="8"/>
      <c r="G13" s="8"/>
      <c r="H13" s="8"/>
      <c r="I13" s="8"/>
      <c r="J13" s="8"/>
      <c r="K13" s="8"/>
      <c r="L13" s="11"/>
      <c r="M13" s="1"/>
    </row>
    <row r="14">
      <c r="A14" s="1"/>
      <c r="B14" s="24">
        <f t="shared" si="1"/>
        <v>0.375</v>
      </c>
      <c r="C14" s="25">
        <f>$B$15-$M$2/1440</f>
        <v>0.375</v>
      </c>
      <c r="D14" s="25">
        <f>$B$15</f>
        <v>0.4166666667</v>
      </c>
      <c r="E14" s="26" t="s">
        <v>26</v>
      </c>
      <c r="F14" s="8"/>
      <c r="G14" s="8"/>
      <c r="H14" s="8"/>
      <c r="I14" s="8"/>
      <c r="J14" s="8"/>
      <c r="K14" s="8"/>
      <c r="L14" s="11"/>
      <c r="M14" s="1"/>
    </row>
    <row r="15">
      <c r="A15" s="1"/>
      <c r="B15" s="27">
        <v>0.4166666666666667</v>
      </c>
      <c r="C15" s="28"/>
      <c r="D15" s="28"/>
      <c r="E15" s="29" t="s">
        <v>27</v>
      </c>
      <c r="F15" s="30"/>
      <c r="G15" s="30"/>
      <c r="H15" s="30"/>
      <c r="I15" s="30"/>
      <c r="J15" s="30"/>
      <c r="K15" s="30"/>
      <c r="L15" s="31"/>
      <c r="M15" s="1"/>
    </row>
    <row r="16" ht="7.5" customHeight="1">
      <c r="A16" s="1"/>
      <c r="B16" s="17"/>
      <c r="C16" s="17"/>
      <c r="D16" s="17"/>
      <c r="E16" s="17"/>
      <c r="F16" s="17"/>
      <c r="G16" s="17"/>
      <c r="H16" s="17"/>
      <c r="I16" s="17"/>
      <c r="J16" s="17"/>
      <c r="K16" s="17"/>
      <c r="L16" s="17"/>
      <c r="M16" s="1"/>
    </row>
    <row r="17" ht="21.75" customHeight="1">
      <c r="A17" s="1"/>
      <c r="B17" s="32" t="s">
        <v>28</v>
      </c>
      <c r="C17" s="33" t="s">
        <v>29</v>
      </c>
      <c r="D17" s="33" t="s">
        <v>30</v>
      </c>
      <c r="E17" s="34" t="s">
        <v>31</v>
      </c>
      <c r="F17" s="33" t="s">
        <v>32</v>
      </c>
      <c r="G17" s="33" t="s">
        <v>33</v>
      </c>
      <c r="H17" s="33" t="s">
        <v>34</v>
      </c>
      <c r="I17" s="33" t="s">
        <v>35</v>
      </c>
      <c r="J17" s="33" t="s">
        <v>36</v>
      </c>
      <c r="K17" s="34" t="s">
        <v>37</v>
      </c>
      <c r="L17" s="35" t="s">
        <v>38</v>
      </c>
      <c r="M17" s="1"/>
    </row>
    <row r="18" ht="42.75" customHeight="1">
      <c r="A18" s="1"/>
      <c r="B18" s="36">
        <v>0.0</v>
      </c>
      <c r="C18" s="37">
        <f>IF(B18="","",$B$15)</f>
        <v>0.4166666667</v>
      </c>
      <c r="D18" s="37">
        <f t="shared" ref="D18:D39" si="2">IF(B18="","",C18+(B18/1440))</f>
        <v>0.4166666667</v>
      </c>
      <c r="E18" s="38" t="s">
        <v>39</v>
      </c>
      <c r="F18" s="39"/>
      <c r="G18" s="38" t="s">
        <v>40</v>
      </c>
      <c r="H18" s="38"/>
      <c r="I18" s="38"/>
      <c r="J18" s="38"/>
      <c r="K18" s="38"/>
      <c r="L18" s="40"/>
      <c r="M18" s="1"/>
    </row>
    <row r="19" ht="28.5" customHeight="1">
      <c r="A19" s="1"/>
      <c r="B19" s="41">
        <v>0.0</v>
      </c>
      <c r="C19" s="42">
        <f t="shared" ref="C19:C39" si="3">IF(B19="","",D18)</f>
        <v>0.4166666667</v>
      </c>
      <c r="D19" s="42">
        <f t="shared" si="2"/>
        <v>0.4166666667</v>
      </c>
      <c r="E19" s="43"/>
      <c r="F19" s="44"/>
      <c r="G19" s="45"/>
      <c r="H19" s="46"/>
      <c r="I19" s="47" t="s">
        <v>41</v>
      </c>
      <c r="J19" s="46"/>
      <c r="K19" s="46"/>
      <c r="L19" s="48"/>
      <c r="M19" s="1"/>
    </row>
    <row r="20">
      <c r="A20" s="1"/>
      <c r="B20" s="49">
        <v>45.0</v>
      </c>
      <c r="C20" s="50">
        <f t="shared" si="3"/>
        <v>0.4166666667</v>
      </c>
      <c r="D20" s="50">
        <f t="shared" si="2"/>
        <v>0.4479166667</v>
      </c>
      <c r="E20" s="51" t="s">
        <v>42</v>
      </c>
      <c r="F20" s="52" t="s">
        <v>43</v>
      </c>
      <c r="G20" s="53" t="s">
        <v>44</v>
      </c>
      <c r="H20" s="51" t="s">
        <v>45</v>
      </c>
      <c r="I20" s="51" t="s">
        <v>41</v>
      </c>
      <c r="J20" s="51"/>
      <c r="K20" s="51" t="s">
        <v>46</v>
      </c>
      <c r="L20" s="54" t="s">
        <v>47</v>
      </c>
      <c r="M20" s="1"/>
    </row>
    <row r="21">
      <c r="A21" s="1"/>
      <c r="B21" s="49">
        <v>45.0</v>
      </c>
      <c r="C21" s="50">
        <f t="shared" si="3"/>
        <v>0.4479166667</v>
      </c>
      <c r="D21" s="50">
        <f t="shared" si="2"/>
        <v>0.4791666667</v>
      </c>
      <c r="E21" s="51" t="s">
        <v>48</v>
      </c>
      <c r="F21" s="52" t="s">
        <v>49</v>
      </c>
      <c r="G21" s="53" t="s">
        <v>50</v>
      </c>
      <c r="H21" s="51" t="s">
        <v>45</v>
      </c>
      <c r="I21" s="51" t="s">
        <v>41</v>
      </c>
      <c r="J21" s="51"/>
      <c r="K21" s="51" t="s">
        <v>46</v>
      </c>
      <c r="L21" s="54" t="s">
        <v>47</v>
      </c>
      <c r="M21" s="1"/>
    </row>
    <row r="22">
      <c r="A22" s="1"/>
      <c r="B22" s="49">
        <v>30.0</v>
      </c>
      <c r="C22" s="50">
        <f t="shared" si="3"/>
        <v>0.4791666667</v>
      </c>
      <c r="D22" s="50">
        <f t="shared" si="2"/>
        <v>0.5</v>
      </c>
      <c r="E22" s="51" t="s">
        <v>48</v>
      </c>
      <c r="F22" s="52" t="s">
        <v>51</v>
      </c>
      <c r="G22" s="53" t="s">
        <v>52</v>
      </c>
      <c r="H22" s="51" t="s">
        <v>45</v>
      </c>
      <c r="I22" s="51" t="s">
        <v>41</v>
      </c>
      <c r="J22" s="51"/>
      <c r="K22" s="51" t="s">
        <v>46</v>
      </c>
      <c r="L22" s="54" t="s">
        <v>47</v>
      </c>
      <c r="M22" s="1"/>
    </row>
    <row r="23">
      <c r="A23" s="1"/>
      <c r="B23" s="49">
        <v>30.0</v>
      </c>
      <c r="C23" s="50">
        <f t="shared" si="3"/>
        <v>0.5</v>
      </c>
      <c r="D23" s="50">
        <f t="shared" si="2"/>
        <v>0.5208333333</v>
      </c>
      <c r="E23" s="51" t="s">
        <v>48</v>
      </c>
      <c r="F23" s="52" t="s">
        <v>53</v>
      </c>
      <c r="G23" s="53" t="s">
        <v>50</v>
      </c>
      <c r="H23" s="51" t="s">
        <v>45</v>
      </c>
      <c r="I23" s="51" t="s">
        <v>41</v>
      </c>
      <c r="J23" s="51"/>
      <c r="K23" s="51" t="s">
        <v>54</v>
      </c>
      <c r="L23" s="54" t="s">
        <v>47</v>
      </c>
      <c r="M23" s="1"/>
    </row>
    <row r="24" ht="15.0" customHeight="1">
      <c r="A24" s="1"/>
      <c r="B24" s="55">
        <v>0.0</v>
      </c>
      <c r="C24" s="56">
        <f t="shared" si="3"/>
        <v>0.5208333333</v>
      </c>
      <c r="D24" s="56">
        <f t="shared" si="2"/>
        <v>0.5208333333</v>
      </c>
      <c r="E24" s="57" t="s">
        <v>55</v>
      </c>
      <c r="F24" s="58"/>
      <c r="G24" s="59"/>
      <c r="H24" s="60"/>
      <c r="I24" s="60"/>
      <c r="J24" s="60"/>
      <c r="K24" s="60"/>
      <c r="L24" s="61"/>
      <c r="M24" s="1"/>
    </row>
    <row r="25">
      <c r="A25" s="1"/>
      <c r="B25" s="36">
        <v>0.0</v>
      </c>
      <c r="C25" s="37">
        <f t="shared" si="3"/>
        <v>0.5208333333</v>
      </c>
      <c r="D25" s="37">
        <f t="shared" si="2"/>
        <v>0.5208333333</v>
      </c>
      <c r="E25" s="38" t="s">
        <v>56</v>
      </c>
      <c r="F25" s="39"/>
      <c r="G25" s="38" t="s">
        <v>57</v>
      </c>
      <c r="H25" s="38"/>
      <c r="I25" s="38"/>
      <c r="J25" s="38"/>
      <c r="K25" s="38"/>
      <c r="L25" s="40"/>
      <c r="M25" s="1"/>
    </row>
    <row r="26">
      <c r="A26" s="1"/>
      <c r="B26" s="41">
        <v>20.0</v>
      </c>
      <c r="C26" s="62">
        <f t="shared" si="3"/>
        <v>0.5208333333</v>
      </c>
      <c r="D26" s="62">
        <f t="shared" si="2"/>
        <v>0.5347222222</v>
      </c>
      <c r="E26" s="63" t="s">
        <v>58</v>
      </c>
      <c r="F26" s="44"/>
      <c r="G26" s="45"/>
      <c r="H26" s="46"/>
      <c r="I26" s="46"/>
      <c r="J26" s="46"/>
      <c r="K26" s="46"/>
      <c r="L26" s="48"/>
      <c r="M26" s="1"/>
    </row>
    <row r="27">
      <c r="A27" s="1"/>
      <c r="B27" s="64">
        <v>20.0</v>
      </c>
      <c r="C27" s="50">
        <f t="shared" si="3"/>
        <v>0.5347222222</v>
      </c>
      <c r="D27" s="50">
        <f t="shared" si="2"/>
        <v>0.5486111111</v>
      </c>
      <c r="E27" s="51" t="s">
        <v>59</v>
      </c>
      <c r="F27" s="52" t="s">
        <v>60</v>
      </c>
      <c r="G27" s="53" t="s">
        <v>61</v>
      </c>
      <c r="H27" s="51" t="s">
        <v>62</v>
      </c>
      <c r="I27" s="65" t="s">
        <v>63</v>
      </c>
      <c r="J27" s="51"/>
      <c r="K27" s="51" t="s">
        <v>64</v>
      </c>
      <c r="L27" s="54" t="s">
        <v>65</v>
      </c>
      <c r="M27" s="1"/>
    </row>
    <row r="28">
      <c r="A28" s="1"/>
      <c r="B28" s="66">
        <v>30.0</v>
      </c>
      <c r="C28" s="50">
        <f t="shared" si="3"/>
        <v>0.5486111111</v>
      </c>
      <c r="D28" s="50">
        <f t="shared" si="2"/>
        <v>0.5694444444</v>
      </c>
      <c r="E28" s="67" t="s">
        <v>59</v>
      </c>
      <c r="F28" s="68" t="s">
        <v>66</v>
      </c>
      <c r="G28" s="69" t="s">
        <v>67</v>
      </c>
      <c r="H28" s="67" t="s">
        <v>62</v>
      </c>
      <c r="I28" s="65" t="s">
        <v>68</v>
      </c>
      <c r="J28" s="67"/>
      <c r="K28" s="67" t="s">
        <v>69</v>
      </c>
      <c r="L28" s="70" t="s">
        <v>65</v>
      </c>
      <c r="M28" s="1"/>
    </row>
    <row r="29" ht="15.0" customHeight="1">
      <c r="A29" s="1"/>
      <c r="B29" s="71">
        <v>45.0</v>
      </c>
      <c r="C29" s="72">
        <f t="shared" si="3"/>
        <v>0.5694444444</v>
      </c>
      <c r="D29" s="72">
        <f t="shared" si="2"/>
        <v>0.6006944444</v>
      </c>
      <c r="E29" s="73" t="s">
        <v>13</v>
      </c>
      <c r="F29" s="74"/>
      <c r="G29" s="73"/>
      <c r="H29" s="73"/>
      <c r="I29" s="73"/>
      <c r="J29" s="73"/>
      <c r="K29" s="73"/>
      <c r="L29" s="75"/>
      <c r="M29" s="1"/>
    </row>
    <row r="30" ht="15.75" customHeight="1">
      <c r="A30" s="1"/>
      <c r="B30" s="76">
        <v>115.0</v>
      </c>
      <c r="C30" s="77">
        <f t="shared" si="3"/>
        <v>0.6006944444</v>
      </c>
      <c r="D30" s="77">
        <f t="shared" si="2"/>
        <v>0.6805555556</v>
      </c>
      <c r="E30" s="78" t="s">
        <v>70</v>
      </c>
      <c r="F30" s="74"/>
      <c r="G30" s="73"/>
      <c r="H30" s="73"/>
      <c r="I30" s="73"/>
      <c r="J30" s="73"/>
      <c r="K30" s="73"/>
      <c r="L30" s="75"/>
      <c r="M30" s="1"/>
    </row>
    <row r="31" ht="15.75" customHeight="1">
      <c r="A31" s="1"/>
      <c r="B31" s="76">
        <v>45.0</v>
      </c>
      <c r="C31" s="72">
        <f t="shared" si="3"/>
        <v>0.6805555556</v>
      </c>
      <c r="D31" s="72">
        <f t="shared" si="2"/>
        <v>0.7118055556</v>
      </c>
      <c r="E31" s="78" t="s">
        <v>71</v>
      </c>
      <c r="F31" s="74"/>
      <c r="G31" s="73"/>
      <c r="H31" s="73"/>
      <c r="I31" s="73"/>
      <c r="J31" s="73"/>
      <c r="K31" s="73"/>
      <c r="L31" s="75"/>
      <c r="M31" s="1"/>
    </row>
    <row r="32" ht="15.75" customHeight="1">
      <c r="A32" s="1"/>
      <c r="B32" s="36">
        <v>0.0</v>
      </c>
      <c r="C32" s="37">
        <f t="shared" si="3"/>
        <v>0.7118055556</v>
      </c>
      <c r="D32" s="37">
        <f t="shared" si="2"/>
        <v>0.7118055556</v>
      </c>
      <c r="E32" s="79" t="s">
        <v>72</v>
      </c>
      <c r="F32" s="39"/>
      <c r="G32" s="38" t="s">
        <v>73</v>
      </c>
      <c r="H32" s="38"/>
      <c r="I32" s="38"/>
      <c r="J32" s="38"/>
      <c r="K32" s="38"/>
      <c r="L32" s="40"/>
      <c r="M32" s="1"/>
    </row>
    <row r="33">
      <c r="A33" s="1"/>
      <c r="B33" s="64">
        <v>25.0</v>
      </c>
      <c r="C33" s="50">
        <f t="shared" si="3"/>
        <v>0.7118055556</v>
      </c>
      <c r="D33" s="50">
        <f t="shared" si="2"/>
        <v>0.7291666667</v>
      </c>
      <c r="E33" s="51" t="s">
        <v>74</v>
      </c>
      <c r="F33" s="80" t="s">
        <v>75</v>
      </c>
      <c r="G33" s="53" t="s">
        <v>76</v>
      </c>
      <c r="H33" s="51" t="s">
        <v>62</v>
      </c>
      <c r="I33" s="51" t="s">
        <v>77</v>
      </c>
      <c r="J33" s="81" t="s">
        <v>78</v>
      </c>
      <c r="K33" s="51" t="s">
        <v>79</v>
      </c>
      <c r="L33" s="54" t="s">
        <v>80</v>
      </c>
      <c r="M33" s="1"/>
    </row>
    <row r="34">
      <c r="A34" s="1"/>
      <c r="B34" s="64">
        <v>25.0</v>
      </c>
      <c r="C34" s="50">
        <f t="shared" si="3"/>
        <v>0.7291666667</v>
      </c>
      <c r="D34" s="50">
        <f t="shared" si="2"/>
        <v>0.7465277778</v>
      </c>
      <c r="E34" s="51" t="s">
        <v>81</v>
      </c>
      <c r="F34" s="80" t="s">
        <v>82</v>
      </c>
      <c r="G34" s="53" t="s">
        <v>83</v>
      </c>
      <c r="H34" s="51" t="s">
        <v>62</v>
      </c>
      <c r="I34" s="51" t="s">
        <v>77</v>
      </c>
      <c r="J34" s="81" t="s">
        <v>78</v>
      </c>
      <c r="K34" s="51" t="s">
        <v>84</v>
      </c>
      <c r="L34" s="54" t="s">
        <v>80</v>
      </c>
      <c r="M34" s="1"/>
    </row>
    <row r="35">
      <c r="A35" s="1"/>
      <c r="B35" s="64">
        <v>25.0</v>
      </c>
      <c r="C35" s="50">
        <f t="shared" si="3"/>
        <v>0.7465277778</v>
      </c>
      <c r="D35" s="50">
        <f t="shared" si="2"/>
        <v>0.7638888889</v>
      </c>
      <c r="E35" s="51" t="s">
        <v>85</v>
      </c>
      <c r="F35" s="52" t="s">
        <v>86</v>
      </c>
      <c r="G35" s="53" t="s">
        <v>87</v>
      </c>
      <c r="H35" s="51" t="s">
        <v>62</v>
      </c>
      <c r="I35" s="51" t="s">
        <v>68</v>
      </c>
      <c r="J35" s="51"/>
      <c r="K35" s="51" t="s">
        <v>88</v>
      </c>
      <c r="L35" s="54" t="s">
        <v>80</v>
      </c>
      <c r="M35" s="1"/>
    </row>
    <row r="36">
      <c r="A36" s="1"/>
      <c r="B36" s="64">
        <v>25.0</v>
      </c>
      <c r="C36" s="50">
        <f t="shared" si="3"/>
        <v>0.7638888889</v>
      </c>
      <c r="D36" s="50">
        <f t="shared" si="2"/>
        <v>0.78125</v>
      </c>
      <c r="E36" s="51" t="s">
        <v>89</v>
      </c>
      <c r="F36" s="52" t="s">
        <v>90</v>
      </c>
      <c r="G36" s="53" t="s">
        <v>91</v>
      </c>
      <c r="H36" s="51" t="s">
        <v>62</v>
      </c>
      <c r="I36" s="65" t="s">
        <v>63</v>
      </c>
      <c r="J36" s="81" t="s">
        <v>78</v>
      </c>
      <c r="K36" s="51" t="s">
        <v>92</v>
      </c>
      <c r="L36" s="54" t="s">
        <v>80</v>
      </c>
      <c r="M36" s="1"/>
    </row>
    <row r="37">
      <c r="A37" s="1"/>
      <c r="B37" s="64">
        <v>15.0</v>
      </c>
      <c r="C37" s="50">
        <f t="shared" si="3"/>
        <v>0.78125</v>
      </c>
      <c r="D37" s="50">
        <f t="shared" si="2"/>
        <v>0.7916666667</v>
      </c>
      <c r="E37" s="51"/>
      <c r="F37" s="52" t="s">
        <v>93</v>
      </c>
      <c r="G37" s="53" t="s">
        <v>94</v>
      </c>
      <c r="H37" s="51" t="s">
        <v>62</v>
      </c>
      <c r="I37" s="51" t="s">
        <v>68</v>
      </c>
      <c r="J37" s="51"/>
      <c r="K37" s="51" t="s">
        <v>95</v>
      </c>
      <c r="L37" s="54" t="s">
        <v>80</v>
      </c>
      <c r="M37" s="1"/>
    </row>
    <row r="38" ht="15.0" customHeight="1">
      <c r="A38" s="1"/>
      <c r="B38" s="82">
        <v>0.0</v>
      </c>
      <c r="C38" s="83">
        <f t="shared" si="3"/>
        <v>0.7916666667</v>
      </c>
      <c r="D38" s="83">
        <f t="shared" si="2"/>
        <v>0.7916666667</v>
      </c>
      <c r="E38" s="84" t="s">
        <v>96</v>
      </c>
      <c r="F38" s="58"/>
      <c r="G38" s="59"/>
      <c r="H38" s="60"/>
      <c r="I38" s="60"/>
      <c r="J38" s="60"/>
      <c r="K38" s="60"/>
      <c r="L38" s="61"/>
      <c r="M38" s="1"/>
    </row>
    <row r="39" ht="15.0" customHeight="1">
      <c r="A39" s="1"/>
      <c r="B39" s="85">
        <v>0.0</v>
      </c>
      <c r="C39" s="86">
        <f t="shared" si="3"/>
        <v>0.7916666667</v>
      </c>
      <c r="D39" s="86">
        <f t="shared" si="2"/>
        <v>0.7916666667</v>
      </c>
      <c r="E39" s="87" t="s">
        <v>18</v>
      </c>
      <c r="F39" s="88"/>
      <c r="G39" s="88"/>
      <c r="H39" s="88"/>
      <c r="I39" s="88"/>
      <c r="J39" s="88"/>
      <c r="K39" s="89"/>
      <c r="L39" s="90"/>
      <c r="M39" s="1"/>
    </row>
    <row r="40" ht="15.0" customHeight="1">
      <c r="A40" s="1"/>
      <c r="B40" s="91" t="s">
        <v>18</v>
      </c>
      <c r="C40" s="92"/>
      <c r="D40" s="92"/>
      <c r="E40" s="93" t="s">
        <v>18</v>
      </c>
      <c r="F40" s="92"/>
      <c r="G40" s="92"/>
      <c r="H40" s="92" t="s">
        <v>18</v>
      </c>
      <c r="I40" s="92"/>
      <c r="J40" s="92"/>
      <c r="K40" s="93" t="s">
        <v>18</v>
      </c>
      <c r="L40" s="94"/>
      <c r="M40" s="1"/>
    </row>
    <row r="41" ht="15.75" customHeight="1">
      <c r="A41" s="1"/>
      <c r="B41" s="95"/>
      <c r="C41" s="95"/>
      <c r="D41" s="95"/>
      <c r="E41" s="95"/>
      <c r="F41" s="95"/>
      <c r="G41" s="95"/>
      <c r="H41" s="95"/>
      <c r="I41" s="95"/>
      <c r="J41" s="95"/>
      <c r="K41" s="95"/>
      <c r="L41" s="95"/>
      <c r="M41" s="95"/>
    </row>
  </sheetData>
  <mergeCells count="30">
    <mergeCell ref="B2:C2"/>
    <mergeCell ref="D2:L2"/>
    <mergeCell ref="B3:E3"/>
    <mergeCell ref="F3:I3"/>
    <mergeCell ref="J3:L3"/>
    <mergeCell ref="F4:I4"/>
    <mergeCell ref="J4:L4"/>
    <mergeCell ref="B4:E4"/>
    <mergeCell ref="B5:E5"/>
    <mergeCell ref="F5:I5"/>
    <mergeCell ref="J5:L5"/>
    <mergeCell ref="B6:E6"/>
    <mergeCell ref="F6:I6"/>
    <mergeCell ref="J6:L6"/>
    <mergeCell ref="F9:I9"/>
    <mergeCell ref="J9:L9"/>
    <mergeCell ref="B10:E10"/>
    <mergeCell ref="F10:I10"/>
    <mergeCell ref="J10:L10"/>
    <mergeCell ref="E12:L12"/>
    <mergeCell ref="E13:L13"/>
    <mergeCell ref="E14:L14"/>
    <mergeCell ref="E15:L15"/>
    <mergeCell ref="B7:E7"/>
    <mergeCell ref="F7:I7"/>
    <mergeCell ref="J7:L7"/>
    <mergeCell ref="B8:E8"/>
    <mergeCell ref="F8:I8"/>
    <mergeCell ref="J8:L8"/>
    <mergeCell ref="B9:E9"/>
  </mergeCells>
  <printOptions horizontalCentered="1"/>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8.0" topLeftCell="A19" activePane="bottomLeft" state="frozen"/>
      <selection activeCell="B20" sqref="B20" pane="bottomLeft"/>
    </sheetView>
  </sheetViews>
  <sheetFormatPr customHeight="1" defaultColWidth="14.43" defaultRowHeight="15.0"/>
  <cols>
    <col customWidth="1" min="1" max="1" width="1.57"/>
    <col customWidth="1" min="2" max="2" width="9.0"/>
    <col customWidth="1" min="3" max="4" width="8.43"/>
    <col customWidth="1" min="5" max="5" width="34.57"/>
    <col customWidth="1" min="6" max="6" width="5.57"/>
    <col customWidth="1" min="7" max="7" width="13.43"/>
    <col customWidth="1" min="8" max="8" width="11.29"/>
    <col customWidth="1" min="9" max="9" width="17.0"/>
    <col customWidth="1" min="10" max="10" width="33.0"/>
    <col customWidth="1" min="11" max="11" width="16.0"/>
    <col customWidth="1" min="12" max="12" width="1.86"/>
    <col customWidth="1" hidden="1" min="13" max="13" width="13.0"/>
  </cols>
  <sheetData>
    <row r="1" ht="9.0" customHeight="1">
      <c r="A1" s="1"/>
      <c r="B1" s="1"/>
      <c r="C1" s="1"/>
      <c r="D1" s="1"/>
      <c r="E1" s="1"/>
      <c r="F1" s="1"/>
      <c r="G1" s="1"/>
      <c r="H1" s="1"/>
      <c r="I1" s="1"/>
      <c r="J1" s="1"/>
      <c r="K1" s="1"/>
      <c r="L1" s="1"/>
      <c r="M1" s="1"/>
    </row>
    <row r="2" ht="37.5" customHeight="1">
      <c r="A2" s="1"/>
      <c r="B2" s="2" t="s">
        <v>0</v>
      </c>
      <c r="C2" s="3"/>
      <c r="D2" s="4" t="s">
        <v>97</v>
      </c>
      <c r="E2" s="5"/>
      <c r="F2" s="5"/>
      <c r="G2" s="5"/>
      <c r="H2" s="5"/>
      <c r="I2" s="5"/>
      <c r="J2" s="5"/>
      <c r="K2" s="6"/>
      <c r="L2" s="1"/>
      <c r="M2" s="96">
        <v>60.0</v>
      </c>
    </row>
    <row r="3" ht="9.75" customHeight="1">
      <c r="A3" s="1"/>
      <c r="B3" s="7" t="s">
        <v>2</v>
      </c>
      <c r="C3" s="8"/>
      <c r="D3" s="8"/>
      <c r="E3" s="9"/>
      <c r="F3" s="10" t="s">
        <v>3</v>
      </c>
      <c r="G3" s="8"/>
      <c r="H3" s="8"/>
      <c r="I3" s="9"/>
      <c r="J3" s="10" t="s">
        <v>4</v>
      </c>
      <c r="K3" s="8"/>
      <c r="L3" s="11"/>
      <c r="M3" s="96">
        <v>30.0</v>
      </c>
    </row>
    <row r="4" ht="15.0" customHeight="1">
      <c r="A4" s="1"/>
      <c r="B4" s="12" t="s">
        <v>5</v>
      </c>
      <c r="C4" s="8"/>
      <c r="D4" s="8"/>
      <c r="E4" s="9"/>
      <c r="F4" s="13">
        <f>$B$16-$M$2/1440</f>
        <v>0.3333333333</v>
      </c>
      <c r="G4" s="8"/>
      <c r="H4" s="8"/>
      <c r="I4" s="9"/>
      <c r="J4" s="14" t="s">
        <v>98</v>
      </c>
      <c r="K4" s="8"/>
      <c r="L4" s="11"/>
      <c r="M4" s="96">
        <v>15.0</v>
      </c>
    </row>
    <row r="5" ht="9.75" customHeight="1">
      <c r="A5" s="1"/>
      <c r="B5" s="7" t="s">
        <v>7</v>
      </c>
      <c r="C5" s="8"/>
      <c r="D5" s="8"/>
      <c r="E5" s="9"/>
      <c r="F5" s="10" t="s">
        <v>8</v>
      </c>
      <c r="G5" s="8"/>
      <c r="H5" s="8"/>
      <c r="I5" s="9"/>
      <c r="J5" s="10" t="s">
        <v>9</v>
      </c>
      <c r="K5" s="8"/>
      <c r="L5" s="11"/>
      <c r="M5" s="17"/>
    </row>
    <row r="6" ht="15.0" customHeight="1">
      <c r="A6" s="1"/>
      <c r="B6" s="12" t="s">
        <v>10</v>
      </c>
      <c r="C6" s="8"/>
      <c r="D6" s="8"/>
      <c r="E6" s="9"/>
      <c r="F6" s="13">
        <f>$B$16</f>
        <v>0.375</v>
      </c>
      <c r="G6" s="8"/>
      <c r="H6" s="8"/>
      <c r="I6" s="9"/>
      <c r="J6" s="14" t="s">
        <v>11</v>
      </c>
      <c r="K6" s="8"/>
      <c r="L6" s="11"/>
      <c r="M6" s="97">
        <f t="array" ref="M6">IFERROR(MIN(IF(ISNUMBER(SEARCH("Moussa",K19:K43)),C19:C43,"")),"")</f>
        <v>0.375</v>
      </c>
    </row>
    <row r="7" ht="9.75" customHeight="1">
      <c r="A7" s="1"/>
      <c r="B7" s="7" t="s">
        <v>12</v>
      </c>
      <c r="C7" s="8"/>
      <c r="D7" s="8"/>
      <c r="E7" s="9"/>
      <c r="F7" s="10" t="s">
        <v>13</v>
      </c>
      <c r="G7" s="8"/>
      <c r="H7" s="8"/>
      <c r="I7" s="9"/>
      <c r="J7" s="10" t="s">
        <v>14</v>
      </c>
      <c r="K7" s="8"/>
      <c r="L7" s="11"/>
      <c r="M7" s="97">
        <f t="array" ref="M7">IFERROR(MIN(IF(ISNUMBER(SEARCH("Leonor",K19:K43)),C19:C43,"")),"")</f>
        <v>0.375</v>
      </c>
    </row>
    <row r="8" ht="15.0" customHeight="1">
      <c r="A8" s="1"/>
      <c r="B8" s="12" t="s">
        <v>15</v>
      </c>
      <c r="C8" s="8"/>
      <c r="D8" s="8"/>
      <c r="E8" s="9"/>
      <c r="F8" s="13">
        <f>IFERROR(C28,"")</f>
        <v>0.5243055556</v>
      </c>
      <c r="G8" s="8"/>
      <c r="H8" s="8"/>
      <c r="I8" s="9"/>
      <c r="J8" s="14" t="s">
        <v>16</v>
      </c>
      <c r="K8" s="8"/>
      <c r="L8" s="11"/>
      <c r="M8" s="17"/>
    </row>
    <row r="9" ht="9.75" customHeight="1">
      <c r="A9" s="1"/>
      <c r="B9" s="7" t="s">
        <v>17</v>
      </c>
      <c r="C9" s="8"/>
      <c r="D9" s="8"/>
      <c r="E9" s="9"/>
      <c r="F9" s="16" t="s">
        <v>18</v>
      </c>
      <c r="G9" s="8"/>
      <c r="H9" s="8"/>
      <c r="I9" s="9"/>
      <c r="J9" s="16" t="s">
        <v>19</v>
      </c>
      <c r="K9" s="8"/>
      <c r="L9" s="11"/>
      <c r="M9" s="17"/>
    </row>
    <row r="10" ht="15.0" customHeight="1">
      <c r="A10" s="1"/>
      <c r="B10" s="12" t="s">
        <v>20</v>
      </c>
      <c r="C10" s="8"/>
      <c r="D10" s="8"/>
      <c r="E10" s="9"/>
      <c r="F10" s="13">
        <f>IFERROR(D42,"")</f>
        <v>0.7430555556</v>
      </c>
      <c r="G10" s="8"/>
      <c r="H10" s="8"/>
      <c r="I10" s="9"/>
      <c r="J10" s="13">
        <f>IFERROR(D42-($B$16-$M$2/1440),"")</f>
        <v>0.4097222222</v>
      </c>
      <c r="K10" s="8"/>
      <c r="L10" s="9"/>
      <c r="M10" s="17"/>
    </row>
    <row r="11" ht="6.75" customHeight="1">
      <c r="A11" s="1"/>
      <c r="B11" s="17"/>
      <c r="C11" s="17"/>
      <c r="D11" s="17"/>
      <c r="E11" s="17"/>
      <c r="F11" s="17"/>
      <c r="G11" s="17"/>
      <c r="H11" s="17"/>
      <c r="I11" s="17"/>
      <c r="J11" s="17"/>
      <c r="K11" s="17"/>
      <c r="L11" s="1"/>
      <c r="M11" s="17"/>
    </row>
    <row r="12" ht="15.75" customHeight="1">
      <c r="A12" s="1"/>
      <c r="B12" s="18" t="s">
        <v>21</v>
      </c>
      <c r="C12" s="19" t="s">
        <v>22</v>
      </c>
      <c r="D12" s="19" t="s">
        <v>23</v>
      </c>
      <c r="E12" s="20" t="s">
        <v>24</v>
      </c>
      <c r="F12" s="5"/>
      <c r="G12" s="5"/>
      <c r="H12" s="5"/>
      <c r="I12" s="5"/>
      <c r="J12" s="5"/>
      <c r="K12" s="6"/>
      <c r="L12" s="1"/>
      <c r="M12" s="17"/>
    </row>
    <row r="13">
      <c r="A13" s="1"/>
      <c r="B13" s="21">
        <f t="shared" ref="B13:B14" si="1">$B$16-$M$2/1440</f>
        <v>0.3333333333</v>
      </c>
      <c r="C13" s="22"/>
      <c r="D13" s="22"/>
      <c r="E13" s="23" t="s">
        <v>25</v>
      </c>
      <c r="F13" s="8"/>
      <c r="G13" s="8"/>
      <c r="H13" s="8"/>
      <c r="I13" s="8"/>
      <c r="J13" s="8"/>
      <c r="K13" s="11"/>
      <c r="L13" s="1"/>
      <c r="M13" s="17"/>
    </row>
    <row r="14">
      <c r="A14" s="1"/>
      <c r="B14" s="24">
        <f t="shared" si="1"/>
        <v>0.3333333333</v>
      </c>
      <c r="C14" s="25">
        <f>$B$16-$M$2/1440</f>
        <v>0.3333333333</v>
      </c>
      <c r="D14" s="25">
        <f>$B$16</f>
        <v>0.375</v>
      </c>
      <c r="E14" s="98" t="s">
        <v>99</v>
      </c>
      <c r="F14" s="8"/>
      <c r="G14" s="8"/>
      <c r="H14" s="8"/>
      <c r="I14" s="8"/>
      <c r="J14" s="8"/>
      <c r="K14" s="11"/>
      <c r="L14" s="1"/>
      <c r="M14" s="17"/>
    </row>
    <row r="15">
      <c r="A15" s="1"/>
      <c r="B15" s="24">
        <f t="shared" ref="B15:C15" si="2">$B$16-$M$3/1440</f>
        <v>0.3541666667</v>
      </c>
      <c r="C15" s="25">
        <f t="shared" si="2"/>
        <v>0.3541666667</v>
      </c>
      <c r="D15" s="25">
        <f>$B$16-$M$4/1440</f>
        <v>0.3645833333</v>
      </c>
      <c r="E15" s="98" t="s">
        <v>100</v>
      </c>
      <c r="F15" s="8"/>
      <c r="G15" s="8"/>
      <c r="H15" s="8"/>
      <c r="I15" s="8"/>
      <c r="J15" s="8"/>
      <c r="K15" s="11"/>
      <c r="L15" s="1"/>
      <c r="M15" s="17"/>
    </row>
    <row r="16">
      <c r="A16" s="1"/>
      <c r="B16" s="27">
        <v>0.375</v>
      </c>
      <c r="C16" s="28"/>
      <c r="D16" s="28"/>
      <c r="E16" s="29" t="s">
        <v>27</v>
      </c>
      <c r="F16" s="30"/>
      <c r="G16" s="30"/>
      <c r="H16" s="30"/>
      <c r="I16" s="30"/>
      <c r="J16" s="30"/>
      <c r="K16" s="31"/>
      <c r="L16" s="1"/>
      <c r="M16" s="17"/>
    </row>
    <row r="17" ht="7.5" customHeight="1">
      <c r="A17" s="1"/>
      <c r="B17" s="17"/>
      <c r="C17" s="17"/>
      <c r="D17" s="17"/>
      <c r="E17" s="17"/>
      <c r="F17" s="17"/>
      <c r="G17" s="17"/>
      <c r="H17" s="17"/>
      <c r="I17" s="17"/>
      <c r="J17" s="17"/>
      <c r="K17" s="17"/>
      <c r="L17" s="1"/>
      <c r="M17" s="17"/>
    </row>
    <row r="18" ht="21.75" customHeight="1">
      <c r="A18" s="1"/>
      <c r="B18" s="32" t="s">
        <v>28</v>
      </c>
      <c r="C18" s="33" t="s">
        <v>29</v>
      </c>
      <c r="D18" s="33" t="s">
        <v>30</v>
      </c>
      <c r="E18" s="34" t="s">
        <v>31</v>
      </c>
      <c r="F18" s="33" t="s">
        <v>32</v>
      </c>
      <c r="G18" s="33" t="s">
        <v>33</v>
      </c>
      <c r="H18" s="33" t="s">
        <v>34</v>
      </c>
      <c r="I18" s="33" t="s">
        <v>35</v>
      </c>
      <c r="J18" s="34" t="s">
        <v>37</v>
      </c>
      <c r="K18" s="35" t="s">
        <v>38</v>
      </c>
      <c r="L18" s="1"/>
      <c r="M18" s="17"/>
    </row>
    <row r="19">
      <c r="A19" s="1"/>
      <c r="B19" s="36">
        <v>0.0</v>
      </c>
      <c r="C19" s="37">
        <f>IF(B19="","",$B$16)</f>
        <v>0.375</v>
      </c>
      <c r="D19" s="37">
        <f t="shared" ref="D19:D42" si="3">IF(B19="","",C19+(B19/1440))</f>
        <v>0.375</v>
      </c>
      <c r="E19" s="38" t="s">
        <v>101</v>
      </c>
      <c r="F19" s="39"/>
      <c r="G19" s="39" t="s">
        <v>102</v>
      </c>
      <c r="H19" s="99"/>
      <c r="I19" s="39"/>
      <c r="J19" s="100"/>
      <c r="K19" s="101"/>
      <c r="L19" s="1"/>
      <c r="M19" s="17"/>
    </row>
    <row r="20">
      <c r="A20" s="1"/>
      <c r="B20" s="64">
        <v>45.0</v>
      </c>
      <c r="C20" s="50">
        <f t="shared" ref="C20:C42" si="4">IF(B20="","",D19)</f>
        <v>0.375</v>
      </c>
      <c r="D20" s="50">
        <f t="shared" si="3"/>
        <v>0.40625</v>
      </c>
      <c r="E20" s="51" t="s">
        <v>103</v>
      </c>
      <c r="F20" s="52" t="s">
        <v>104</v>
      </c>
      <c r="G20" s="53" t="s">
        <v>105</v>
      </c>
      <c r="H20" s="51" t="s">
        <v>62</v>
      </c>
      <c r="I20" s="51"/>
      <c r="J20" s="51" t="s">
        <v>106</v>
      </c>
      <c r="K20" s="54" t="s">
        <v>107</v>
      </c>
      <c r="L20" s="1"/>
      <c r="M20" s="17"/>
    </row>
    <row r="21" ht="15.0" customHeight="1">
      <c r="A21" s="1"/>
      <c r="B21" s="102">
        <v>30.0</v>
      </c>
      <c r="C21" s="42">
        <f t="shared" si="4"/>
        <v>0.40625</v>
      </c>
      <c r="D21" s="42">
        <f t="shared" si="3"/>
        <v>0.4270833333</v>
      </c>
      <c r="E21" s="63" t="s">
        <v>108</v>
      </c>
      <c r="F21" s="44"/>
      <c r="G21" s="46"/>
      <c r="H21" s="46"/>
      <c r="I21" s="46"/>
      <c r="J21" s="46"/>
      <c r="K21" s="48"/>
      <c r="L21" s="1"/>
      <c r="M21" s="17"/>
    </row>
    <row r="22">
      <c r="A22" s="1"/>
      <c r="B22" s="64">
        <v>30.0</v>
      </c>
      <c r="C22" s="50">
        <f t="shared" si="4"/>
        <v>0.4270833333</v>
      </c>
      <c r="D22" s="50">
        <f t="shared" si="3"/>
        <v>0.4479166667</v>
      </c>
      <c r="E22" s="51" t="s">
        <v>109</v>
      </c>
      <c r="F22" s="52" t="s">
        <v>110</v>
      </c>
      <c r="G22" s="53" t="s">
        <v>111</v>
      </c>
      <c r="H22" s="51" t="s">
        <v>62</v>
      </c>
      <c r="I22" s="51"/>
      <c r="J22" s="51" t="s">
        <v>112</v>
      </c>
      <c r="K22" s="54" t="s">
        <v>107</v>
      </c>
      <c r="L22" s="1"/>
      <c r="M22" s="17"/>
    </row>
    <row r="23" ht="15.0" customHeight="1">
      <c r="A23" s="1"/>
      <c r="B23" s="102">
        <v>20.0</v>
      </c>
      <c r="C23" s="42">
        <f t="shared" si="4"/>
        <v>0.4479166667</v>
      </c>
      <c r="D23" s="42">
        <f t="shared" si="3"/>
        <v>0.4618055556</v>
      </c>
      <c r="E23" s="43" t="s">
        <v>113</v>
      </c>
      <c r="F23" s="44"/>
      <c r="G23" s="46"/>
      <c r="H23" s="46"/>
      <c r="I23" s="46"/>
      <c r="J23" s="46"/>
      <c r="K23" s="48"/>
      <c r="L23" s="1"/>
      <c r="M23" s="17"/>
    </row>
    <row r="24">
      <c r="A24" s="1"/>
      <c r="B24" s="64">
        <v>30.0</v>
      </c>
      <c r="C24" s="50">
        <f t="shared" si="4"/>
        <v>0.4618055556</v>
      </c>
      <c r="D24" s="50">
        <f t="shared" si="3"/>
        <v>0.4826388889</v>
      </c>
      <c r="E24" s="51" t="s">
        <v>114</v>
      </c>
      <c r="F24" s="52" t="s">
        <v>115</v>
      </c>
      <c r="G24" s="53" t="s">
        <v>116</v>
      </c>
      <c r="H24" s="51" t="s">
        <v>45</v>
      </c>
      <c r="I24" s="51"/>
      <c r="J24" s="51" t="s">
        <v>117</v>
      </c>
      <c r="K24" s="54" t="s">
        <v>107</v>
      </c>
      <c r="L24" s="1"/>
      <c r="M24" s="17"/>
    </row>
    <row r="25" ht="48.75" customHeight="1">
      <c r="A25" s="1"/>
      <c r="B25" s="36">
        <v>0.0</v>
      </c>
      <c r="C25" s="37">
        <f t="shared" si="4"/>
        <v>0.4826388889</v>
      </c>
      <c r="D25" s="37">
        <f t="shared" si="3"/>
        <v>0.4826388889</v>
      </c>
      <c r="E25" s="38" t="s">
        <v>118</v>
      </c>
      <c r="F25" s="39"/>
      <c r="G25" s="39" t="s">
        <v>119</v>
      </c>
      <c r="H25" s="38"/>
      <c r="I25" s="38"/>
      <c r="J25" s="38"/>
      <c r="K25" s="40"/>
      <c r="L25" s="1"/>
      <c r="M25" s="17"/>
    </row>
    <row r="26" ht="28.5" customHeight="1">
      <c r="A26" s="1"/>
      <c r="B26" s="102">
        <v>20.0</v>
      </c>
      <c r="C26" s="42">
        <f t="shared" si="4"/>
        <v>0.4826388889</v>
      </c>
      <c r="D26" s="42">
        <f t="shared" si="3"/>
        <v>0.4965277778</v>
      </c>
      <c r="E26" s="43" t="s">
        <v>120</v>
      </c>
      <c r="F26" s="44"/>
      <c r="G26" s="46"/>
      <c r="H26" s="46"/>
      <c r="I26" s="46"/>
      <c r="J26" s="46"/>
      <c r="K26" s="48"/>
      <c r="L26" s="1"/>
      <c r="M26" s="17"/>
    </row>
    <row r="27">
      <c r="A27" s="1"/>
      <c r="B27" s="64">
        <v>40.0</v>
      </c>
      <c r="C27" s="50">
        <f t="shared" si="4"/>
        <v>0.4965277778</v>
      </c>
      <c r="D27" s="50">
        <f t="shared" si="3"/>
        <v>0.5243055556</v>
      </c>
      <c r="E27" s="51" t="s">
        <v>121</v>
      </c>
      <c r="F27" s="52" t="s">
        <v>122</v>
      </c>
      <c r="G27" s="53" t="s">
        <v>123</v>
      </c>
      <c r="H27" s="51" t="s">
        <v>124</v>
      </c>
      <c r="I27" s="51" t="s">
        <v>77</v>
      </c>
      <c r="J27" s="53" t="s">
        <v>125</v>
      </c>
      <c r="K27" s="54" t="s">
        <v>80</v>
      </c>
      <c r="L27" s="1"/>
      <c r="M27" s="17"/>
    </row>
    <row r="28" ht="15.0" customHeight="1">
      <c r="A28" s="1"/>
      <c r="B28" s="71">
        <v>45.0</v>
      </c>
      <c r="C28" s="103">
        <f t="shared" si="4"/>
        <v>0.5243055556</v>
      </c>
      <c r="D28" s="103">
        <f t="shared" si="3"/>
        <v>0.5555555556</v>
      </c>
      <c r="E28" s="73" t="s">
        <v>13</v>
      </c>
      <c r="F28" s="74"/>
      <c r="G28" s="73"/>
      <c r="H28" s="73"/>
      <c r="I28" s="73"/>
      <c r="J28" s="73"/>
      <c r="K28" s="75"/>
      <c r="L28" s="1"/>
      <c r="M28" s="17"/>
    </row>
    <row r="29" ht="42.75" customHeight="1">
      <c r="A29" s="1"/>
      <c r="B29" s="36">
        <v>0.0</v>
      </c>
      <c r="C29" s="37">
        <f t="shared" si="4"/>
        <v>0.5555555556</v>
      </c>
      <c r="D29" s="37">
        <f t="shared" si="3"/>
        <v>0.5555555556</v>
      </c>
      <c r="E29" s="38" t="s">
        <v>126</v>
      </c>
      <c r="F29" s="39"/>
      <c r="G29" s="39" t="s">
        <v>127</v>
      </c>
      <c r="H29" s="38"/>
      <c r="I29" s="38"/>
      <c r="J29" s="38"/>
      <c r="K29" s="40"/>
      <c r="L29" s="1"/>
      <c r="M29" s="17"/>
    </row>
    <row r="30">
      <c r="A30" s="1"/>
      <c r="B30" s="102">
        <v>15.0</v>
      </c>
      <c r="C30" s="42">
        <f t="shared" si="4"/>
        <v>0.5555555556</v>
      </c>
      <c r="D30" s="42">
        <f t="shared" si="3"/>
        <v>0.5659722222</v>
      </c>
      <c r="E30" s="43" t="s">
        <v>113</v>
      </c>
      <c r="F30" s="44"/>
      <c r="G30" s="46"/>
      <c r="H30" s="46"/>
      <c r="I30" s="46"/>
      <c r="J30" s="46"/>
      <c r="K30" s="48"/>
      <c r="L30" s="1"/>
      <c r="M30" s="17"/>
    </row>
    <row r="31">
      <c r="A31" s="1"/>
      <c r="B31" s="64">
        <v>30.0</v>
      </c>
      <c r="C31" s="50">
        <f t="shared" si="4"/>
        <v>0.5659722222</v>
      </c>
      <c r="D31" s="50">
        <f t="shared" si="3"/>
        <v>0.5868055556</v>
      </c>
      <c r="E31" s="51" t="s">
        <v>128</v>
      </c>
      <c r="F31" s="52" t="s">
        <v>129</v>
      </c>
      <c r="G31" s="53" t="s">
        <v>130</v>
      </c>
      <c r="H31" s="51" t="s">
        <v>45</v>
      </c>
      <c r="I31" s="51" t="s">
        <v>77</v>
      </c>
      <c r="J31" s="51" t="s">
        <v>131</v>
      </c>
      <c r="K31" s="54" t="s">
        <v>47</v>
      </c>
      <c r="L31" s="1"/>
      <c r="M31" s="17"/>
    </row>
    <row r="32" ht="28.5" customHeight="1">
      <c r="A32" s="1"/>
      <c r="B32" s="102">
        <v>20.0</v>
      </c>
      <c r="C32" s="42">
        <f t="shared" si="4"/>
        <v>0.5868055556</v>
      </c>
      <c r="D32" s="42">
        <f t="shared" si="3"/>
        <v>0.6006944444</v>
      </c>
      <c r="E32" s="43" t="s">
        <v>132</v>
      </c>
      <c r="F32" s="44"/>
      <c r="G32" s="46"/>
      <c r="H32" s="46"/>
      <c r="I32" s="46"/>
      <c r="J32" s="46"/>
      <c r="K32" s="48"/>
      <c r="L32" s="1"/>
      <c r="M32" s="17"/>
    </row>
    <row r="33">
      <c r="A33" s="1"/>
      <c r="B33" s="64">
        <v>45.0</v>
      </c>
      <c r="C33" s="50">
        <f t="shared" si="4"/>
        <v>0.6006944444</v>
      </c>
      <c r="D33" s="50">
        <f t="shared" si="3"/>
        <v>0.6319444444</v>
      </c>
      <c r="E33" s="51" t="s">
        <v>133</v>
      </c>
      <c r="F33" s="52" t="s">
        <v>134</v>
      </c>
      <c r="G33" s="53" t="s">
        <v>135</v>
      </c>
      <c r="H33" s="51" t="s">
        <v>136</v>
      </c>
      <c r="I33" s="51" t="s">
        <v>41</v>
      </c>
      <c r="J33" s="51" t="s">
        <v>137</v>
      </c>
      <c r="K33" s="54" t="s">
        <v>47</v>
      </c>
      <c r="L33" s="1"/>
      <c r="M33" s="17"/>
    </row>
    <row r="34" ht="42.75" customHeight="1">
      <c r="A34" s="1"/>
      <c r="B34" s="36">
        <v>0.0</v>
      </c>
      <c r="C34" s="37">
        <f t="shared" si="4"/>
        <v>0.6319444444</v>
      </c>
      <c r="D34" s="37">
        <f t="shared" si="3"/>
        <v>0.6319444444</v>
      </c>
      <c r="E34" s="38" t="s">
        <v>138</v>
      </c>
      <c r="F34" s="39"/>
      <c r="G34" s="39" t="s">
        <v>139</v>
      </c>
      <c r="H34" s="38"/>
      <c r="I34" s="38"/>
      <c r="J34" s="38"/>
      <c r="K34" s="40"/>
      <c r="L34" s="1"/>
      <c r="M34" s="17"/>
    </row>
    <row r="35">
      <c r="A35" s="1"/>
      <c r="B35" s="41">
        <v>20.0</v>
      </c>
      <c r="C35" s="42">
        <f t="shared" si="4"/>
        <v>0.6319444444</v>
      </c>
      <c r="D35" s="42">
        <f t="shared" si="3"/>
        <v>0.6458333333</v>
      </c>
      <c r="E35" s="43" t="s">
        <v>140</v>
      </c>
      <c r="F35" s="44"/>
      <c r="G35" s="46"/>
      <c r="H35" s="46"/>
      <c r="I35" s="46"/>
      <c r="J35" s="46"/>
      <c r="K35" s="48"/>
      <c r="L35" s="1"/>
      <c r="M35" s="17"/>
    </row>
    <row r="36" ht="15.0" customHeight="1">
      <c r="A36" s="1"/>
      <c r="B36" s="82">
        <v>0.0</v>
      </c>
      <c r="C36" s="83">
        <f t="shared" si="4"/>
        <v>0.6458333333</v>
      </c>
      <c r="D36" s="83">
        <f t="shared" si="3"/>
        <v>0.6458333333</v>
      </c>
      <c r="E36" s="84" t="s">
        <v>141</v>
      </c>
      <c r="F36" s="58"/>
      <c r="G36" s="60"/>
      <c r="H36" s="60"/>
      <c r="I36" s="60"/>
      <c r="J36" s="60"/>
      <c r="K36" s="61"/>
      <c r="L36" s="1"/>
      <c r="M36" s="17"/>
    </row>
    <row r="37">
      <c r="A37" s="1"/>
      <c r="B37" s="64">
        <v>30.0</v>
      </c>
      <c r="C37" s="50">
        <f t="shared" si="4"/>
        <v>0.6458333333</v>
      </c>
      <c r="D37" s="50">
        <f t="shared" si="3"/>
        <v>0.6666666667</v>
      </c>
      <c r="E37" s="51" t="s">
        <v>142</v>
      </c>
      <c r="F37" s="52" t="s">
        <v>143</v>
      </c>
      <c r="G37" s="53" t="s">
        <v>144</v>
      </c>
      <c r="H37" s="51" t="s">
        <v>45</v>
      </c>
      <c r="I37" s="51"/>
      <c r="J37" s="51" t="s">
        <v>145</v>
      </c>
      <c r="K37" s="54" t="s">
        <v>80</v>
      </c>
      <c r="L37" s="1"/>
      <c r="M37" s="17"/>
    </row>
    <row r="38">
      <c r="A38" s="1"/>
      <c r="B38" s="49">
        <v>30.0</v>
      </c>
      <c r="C38" s="50">
        <f t="shared" si="4"/>
        <v>0.6666666667</v>
      </c>
      <c r="D38" s="50">
        <f t="shared" si="3"/>
        <v>0.6875</v>
      </c>
      <c r="E38" s="51" t="s">
        <v>146</v>
      </c>
      <c r="F38" s="52" t="s">
        <v>147</v>
      </c>
      <c r="G38" s="53" t="s">
        <v>148</v>
      </c>
      <c r="H38" s="51" t="s">
        <v>62</v>
      </c>
      <c r="I38" s="51"/>
      <c r="J38" s="51" t="s">
        <v>149</v>
      </c>
      <c r="K38" s="54" t="s">
        <v>80</v>
      </c>
      <c r="L38" s="1"/>
      <c r="M38" s="17"/>
    </row>
    <row r="39" ht="42.75" customHeight="1">
      <c r="A39" s="1"/>
      <c r="B39" s="36">
        <v>0.0</v>
      </c>
      <c r="C39" s="37">
        <f t="shared" si="4"/>
        <v>0.6875</v>
      </c>
      <c r="D39" s="37">
        <f t="shared" si="3"/>
        <v>0.6875</v>
      </c>
      <c r="E39" s="38" t="s">
        <v>150</v>
      </c>
      <c r="F39" s="39"/>
      <c r="G39" s="39" t="s">
        <v>151</v>
      </c>
      <c r="H39" s="38"/>
      <c r="I39" s="38"/>
      <c r="J39" s="38"/>
      <c r="K39" s="40"/>
      <c r="L39" s="1"/>
      <c r="M39" s="17"/>
    </row>
    <row r="40">
      <c r="A40" s="1"/>
      <c r="B40" s="64">
        <v>40.0</v>
      </c>
      <c r="C40" s="50">
        <f t="shared" si="4"/>
        <v>0.6875</v>
      </c>
      <c r="D40" s="50">
        <f t="shared" si="3"/>
        <v>0.7152777778</v>
      </c>
      <c r="E40" s="51" t="s">
        <v>146</v>
      </c>
      <c r="F40" s="52" t="s">
        <v>152</v>
      </c>
      <c r="G40" s="53" t="s">
        <v>153</v>
      </c>
      <c r="H40" s="51" t="s">
        <v>45</v>
      </c>
      <c r="I40" s="51"/>
      <c r="J40" s="51" t="s">
        <v>154</v>
      </c>
      <c r="K40" s="54" t="s">
        <v>80</v>
      </c>
      <c r="L40" s="1"/>
      <c r="M40" s="17"/>
    </row>
    <row r="41">
      <c r="A41" s="1"/>
      <c r="B41" s="104">
        <v>40.0</v>
      </c>
      <c r="C41" s="105">
        <f t="shared" si="4"/>
        <v>0.7152777778</v>
      </c>
      <c r="D41" s="105">
        <f t="shared" si="3"/>
        <v>0.7430555556</v>
      </c>
      <c r="E41" s="67" t="s">
        <v>146</v>
      </c>
      <c r="F41" s="68" t="s">
        <v>155</v>
      </c>
      <c r="G41" s="69" t="s">
        <v>156</v>
      </c>
      <c r="H41" s="67" t="s">
        <v>45</v>
      </c>
      <c r="I41" s="67"/>
      <c r="J41" s="67" t="s">
        <v>157</v>
      </c>
      <c r="K41" s="70" t="s">
        <v>80</v>
      </c>
      <c r="L41" s="1"/>
      <c r="M41" s="17"/>
    </row>
    <row r="42" ht="15.0" customHeight="1">
      <c r="A42" s="1"/>
      <c r="B42" s="85">
        <v>0.0</v>
      </c>
      <c r="C42" s="86">
        <f t="shared" si="4"/>
        <v>0.7430555556</v>
      </c>
      <c r="D42" s="86">
        <f t="shared" si="3"/>
        <v>0.7430555556</v>
      </c>
      <c r="E42" s="87" t="s">
        <v>18</v>
      </c>
      <c r="F42" s="88"/>
      <c r="G42" s="88"/>
      <c r="H42" s="88"/>
      <c r="I42" s="88"/>
      <c r="J42" s="89"/>
      <c r="K42" s="90"/>
      <c r="L42" s="1"/>
      <c r="M42" s="17"/>
    </row>
    <row r="43" ht="15.0" customHeight="1">
      <c r="A43" s="1"/>
      <c r="B43" s="91" t="s">
        <v>18</v>
      </c>
      <c r="C43" s="92"/>
      <c r="D43" s="92"/>
      <c r="E43" s="93" t="s">
        <v>18</v>
      </c>
      <c r="F43" s="92"/>
      <c r="G43" s="92"/>
      <c r="H43" s="92" t="s">
        <v>18</v>
      </c>
      <c r="I43" s="92"/>
      <c r="J43" s="93" t="s">
        <v>18</v>
      </c>
      <c r="K43" s="94"/>
      <c r="L43" s="1"/>
      <c r="M43" s="17"/>
    </row>
    <row r="44" ht="7.5" customHeight="1">
      <c r="A44" s="1"/>
      <c r="B44" s="1"/>
      <c r="C44" s="1"/>
      <c r="D44" s="1"/>
      <c r="E44" s="1"/>
      <c r="F44" s="1"/>
      <c r="G44" s="1"/>
      <c r="H44" s="1"/>
      <c r="I44" s="1"/>
      <c r="J44" s="1"/>
      <c r="K44" s="1"/>
      <c r="L44" s="1"/>
      <c r="M44" s="1"/>
    </row>
  </sheetData>
  <mergeCells count="31">
    <mergeCell ref="B2:C2"/>
    <mergeCell ref="D2:K2"/>
    <mergeCell ref="B3:E3"/>
    <mergeCell ref="F3:I3"/>
    <mergeCell ref="J3:L3"/>
    <mergeCell ref="F4:I4"/>
    <mergeCell ref="J4:L4"/>
    <mergeCell ref="B4:E4"/>
    <mergeCell ref="B5:E5"/>
    <mergeCell ref="F5:I5"/>
    <mergeCell ref="J5:L5"/>
    <mergeCell ref="B6:E6"/>
    <mergeCell ref="F6:I6"/>
    <mergeCell ref="J6:L6"/>
    <mergeCell ref="F9:I9"/>
    <mergeCell ref="J9:L9"/>
    <mergeCell ref="B10:E10"/>
    <mergeCell ref="F10:I10"/>
    <mergeCell ref="J10:L10"/>
    <mergeCell ref="E12:K12"/>
    <mergeCell ref="E13:K13"/>
    <mergeCell ref="E14:K14"/>
    <mergeCell ref="E15:K15"/>
    <mergeCell ref="E16:K16"/>
    <mergeCell ref="B7:E7"/>
    <mergeCell ref="F7:I7"/>
    <mergeCell ref="J7:L7"/>
    <mergeCell ref="B8:E8"/>
    <mergeCell ref="F8:I8"/>
    <mergeCell ref="J8:L8"/>
    <mergeCell ref="B9:E9"/>
  </mergeCells>
  <printOptions horizontalCentered="1"/>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6.0" topLeftCell="A17" activePane="bottomLeft" state="frozen"/>
      <selection activeCell="B18" sqref="B18" pane="bottomLeft"/>
    </sheetView>
  </sheetViews>
  <sheetFormatPr customHeight="1" defaultColWidth="14.43" defaultRowHeight="15.0"/>
  <cols>
    <col customWidth="1" min="1" max="1" width="1.57"/>
    <col customWidth="1" min="2" max="2" width="9.0"/>
    <col customWidth="1" min="3" max="4" width="8.43"/>
    <col customWidth="1" min="5" max="5" width="32.0"/>
    <col customWidth="1" min="6" max="6" width="5.57"/>
    <col customWidth="1" min="7" max="7" width="16.0"/>
    <col customWidth="1" min="8" max="8" width="18.0"/>
    <col customWidth="1" min="9" max="9" width="44.0"/>
    <col customWidth="1" min="10" max="10" width="16.0"/>
    <col customWidth="1" min="11" max="11" width="1.86"/>
    <col customWidth="1" hidden="1" min="12" max="12" width="13.0"/>
  </cols>
  <sheetData>
    <row r="1" ht="9.0" customHeight="1">
      <c r="A1" s="1"/>
      <c r="B1" s="1"/>
      <c r="C1" s="1"/>
      <c r="D1" s="1"/>
      <c r="E1" s="1"/>
      <c r="F1" s="1"/>
      <c r="G1" s="1"/>
      <c r="H1" s="1"/>
      <c r="I1" s="1"/>
      <c r="J1" s="1"/>
      <c r="K1" s="1"/>
      <c r="L1" s="1"/>
    </row>
    <row r="2" ht="37.5" customHeight="1">
      <c r="A2" s="1"/>
      <c r="B2" s="2" t="s">
        <v>0</v>
      </c>
      <c r="C2" s="3"/>
      <c r="D2" s="4" t="s">
        <v>158</v>
      </c>
      <c r="E2" s="5"/>
      <c r="F2" s="5"/>
      <c r="G2" s="5"/>
      <c r="H2" s="5"/>
      <c r="I2" s="5"/>
      <c r="J2" s="6"/>
      <c r="K2" s="1"/>
      <c r="L2" s="96">
        <v>60.0</v>
      </c>
    </row>
    <row r="3" ht="9.75" customHeight="1">
      <c r="A3" s="1"/>
      <c r="B3" s="7" t="s">
        <v>2</v>
      </c>
      <c r="C3" s="8"/>
      <c r="D3" s="8"/>
      <c r="E3" s="9"/>
      <c r="F3" s="10" t="s">
        <v>3</v>
      </c>
      <c r="G3" s="8"/>
      <c r="H3" s="8"/>
      <c r="I3" s="106" t="s">
        <v>4</v>
      </c>
      <c r="J3" s="8"/>
      <c r="K3" s="11"/>
      <c r="L3" s="96">
        <v>30.0</v>
      </c>
    </row>
    <row r="4" ht="15.0" customHeight="1">
      <c r="A4" s="1"/>
      <c r="B4" s="12" t="s">
        <v>5</v>
      </c>
      <c r="C4" s="8"/>
      <c r="D4" s="8"/>
      <c r="E4" s="9"/>
      <c r="F4" s="13">
        <f>$B$14-$L$2/1440</f>
        <v>0.4166666667</v>
      </c>
      <c r="G4" s="8"/>
      <c r="H4" s="8"/>
      <c r="I4" s="107">
        <v>1.0</v>
      </c>
      <c r="J4" s="8"/>
      <c r="K4" s="11"/>
      <c r="L4" s="96">
        <v>15.0</v>
      </c>
    </row>
    <row r="5" ht="9.75" customHeight="1">
      <c r="A5" s="1"/>
      <c r="B5" s="7" t="s">
        <v>7</v>
      </c>
      <c r="C5" s="8"/>
      <c r="D5" s="8"/>
      <c r="E5" s="9"/>
      <c r="F5" s="10" t="s">
        <v>8</v>
      </c>
      <c r="G5" s="8"/>
      <c r="H5" s="8"/>
      <c r="I5" s="106" t="s">
        <v>9</v>
      </c>
      <c r="J5" s="8"/>
      <c r="K5" s="11"/>
      <c r="L5" s="17"/>
    </row>
    <row r="6" ht="15.0" customHeight="1">
      <c r="A6" s="1"/>
      <c r="B6" s="12" t="s">
        <v>10</v>
      </c>
      <c r="C6" s="8"/>
      <c r="D6" s="8"/>
      <c r="E6" s="9"/>
      <c r="F6" s="13">
        <f>$B$14</f>
        <v>0.4583333333</v>
      </c>
      <c r="G6" s="8"/>
      <c r="H6" s="8"/>
      <c r="I6" s="108" t="s">
        <v>11</v>
      </c>
      <c r="J6" s="8"/>
      <c r="K6" s="11"/>
      <c r="L6" s="97">
        <f t="array" ref="L6">IFERROR(MIN(IF(ISNUMBER(SEARCH("Moussa",J17:J27)),C17:C27,"")),"")</f>
        <v>0.4583333333</v>
      </c>
    </row>
    <row r="7" ht="9.75" customHeight="1">
      <c r="A7" s="1"/>
      <c r="B7" s="7" t="s">
        <v>12</v>
      </c>
      <c r="C7" s="8"/>
      <c r="D7" s="8"/>
      <c r="E7" s="9"/>
      <c r="F7" s="10" t="s">
        <v>13</v>
      </c>
      <c r="G7" s="109"/>
      <c r="H7" s="109"/>
      <c r="I7" s="106" t="s">
        <v>14</v>
      </c>
      <c r="J7" s="8"/>
      <c r="K7" s="11"/>
      <c r="L7" s="97">
        <f t="array" ref="L7">IFERROR(MIN(IF(ISNUMBER(SEARCH("Leonor",J17:J27)),C17:C27,"")),"")</f>
        <v>0.5347222222</v>
      </c>
    </row>
    <row r="8" ht="15.0" customHeight="1">
      <c r="A8" s="1"/>
      <c r="B8" s="12" t="s">
        <v>15</v>
      </c>
      <c r="C8" s="8"/>
      <c r="D8" s="8"/>
      <c r="E8" s="9"/>
      <c r="F8" s="13">
        <f>IFERROR(C22,"")</f>
        <v>0.6006944444</v>
      </c>
      <c r="G8" s="8"/>
      <c r="H8" s="8"/>
      <c r="I8" s="108" t="s">
        <v>159</v>
      </c>
      <c r="J8" s="8"/>
      <c r="K8" s="11"/>
      <c r="L8" s="17"/>
    </row>
    <row r="9" ht="9.75" customHeight="1">
      <c r="A9" s="1"/>
      <c r="B9" s="7" t="s">
        <v>17</v>
      </c>
      <c r="C9" s="8"/>
      <c r="D9" s="8"/>
      <c r="E9" s="9"/>
      <c r="F9" s="16" t="s">
        <v>18</v>
      </c>
      <c r="G9" s="110"/>
      <c r="H9" s="110"/>
      <c r="I9" s="111" t="s">
        <v>19</v>
      </c>
      <c r="J9" s="8"/>
      <c r="K9" s="11"/>
      <c r="L9" s="17"/>
    </row>
    <row r="10" ht="15.0" customHeight="1">
      <c r="A10" s="1"/>
      <c r="B10" s="12" t="s">
        <v>160</v>
      </c>
      <c r="C10" s="8"/>
      <c r="D10" s="8"/>
      <c r="E10" s="9"/>
      <c r="F10" s="13">
        <f>IFERROR(D26,"")</f>
        <v>0.7083333333</v>
      </c>
      <c r="G10" s="8"/>
      <c r="H10" s="8"/>
      <c r="I10" s="13">
        <f>F10-F6</f>
        <v>0.25</v>
      </c>
      <c r="J10" s="8"/>
      <c r="K10" s="9"/>
      <c r="L10" s="17"/>
    </row>
    <row r="11" ht="15.75" customHeight="1">
      <c r="A11" s="1"/>
      <c r="B11" s="18" t="s">
        <v>21</v>
      </c>
      <c r="C11" s="19" t="s">
        <v>22</v>
      </c>
      <c r="D11" s="19" t="s">
        <v>23</v>
      </c>
      <c r="E11" s="20" t="s">
        <v>24</v>
      </c>
      <c r="F11" s="5"/>
      <c r="G11" s="5"/>
      <c r="H11" s="5"/>
      <c r="I11" s="5"/>
      <c r="J11" s="6"/>
      <c r="K11" s="1"/>
      <c r="L11" s="17"/>
    </row>
    <row r="12">
      <c r="A12" s="1"/>
      <c r="B12" s="21">
        <f t="shared" ref="B12:B13" si="1">$B$14-$L$2/1440</f>
        <v>0.4166666667</v>
      </c>
      <c r="C12" s="22"/>
      <c r="D12" s="22"/>
      <c r="E12" s="23" t="s">
        <v>25</v>
      </c>
      <c r="F12" s="8"/>
      <c r="G12" s="8"/>
      <c r="H12" s="8"/>
      <c r="I12" s="8"/>
      <c r="J12" s="11"/>
      <c r="K12" s="1"/>
      <c r="L12" s="17"/>
    </row>
    <row r="13">
      <c r="A13" s="1"/>
      <c r="B13" s="24">
        <f t="shared" si="1"/>
        <v>0.4166666667</v>
      </c>
      <c r="C13" s="25">
        <f>$B$14-$L$2/1440</f>
        <v>0.4166666667</v>
      </c>
      <c r="D13" s="25">
        <f>$B$14</f>
        <v>0.4583333333</v>
      </c>
      <c r="E13" s="98" t="s">
        <v>99</v>
      </c>
      <c r="F13" s="8"/>
      <c r="G13" s="8"/>
      <c r="H13" s="8"/>
      <c r="I13" s="8"/>
      <c r="J13" s="11"/>
      <c r="K13" s="1"/>
      <c r="L13" s="17"/>
    </row>
    <row r="14">
      <c r="A14" s="1"/>
      <c r="B14" s="27">
        <v>0.4583333333333333</v>
      </c>
      <c r="C14" s="28"/>
      <c r="D14" s="28"/>
      <c r="E14" s="29" t="s">
        <v>27</v>
      </c>
      <c r="F14" s="30"/>
      <c r="G14" s="30"/>
      <c r="H14" s="30"/>
      <c r="I14" s="30"/>
      <c r="J14" s="31"/>
      <c r="K14" s="1"/>
      <c r="L14" s="17"/>
    </row>
    <row r="15" ht="7.5" customHeight="1">
      <c r="A15" s="1"/>
      <c r="B15" s="17"/>
      <c r="C15" s="17"/>
      <c r="D15" s="17"/>
      <c r="E15" s="17"/>
      <c r="F15" s="17"/>
      <c r="G15" s="17"/>
      <c r="H15" s="17"/>
      <c r="I15" s="17"/>
      <c r="J15" s="17"/>
      <c r="K15" s="1"/>
      <c r="L15" s="17"/>
    </row>
    <row r="16" ht="21.75" customHeight="1">
      <c r="A16" s="1"/>
      <c r="B16" s="32" t="s">
        <v>28</v>
      </c>
      <c r="C16" s="33" t="s">
        <v>29</v>
      </c>
      <c r="D16" s="33" t="s">
        <v>30</v>
      </c>
      <c r="E16" s="34" t="s">
        <v>31</v>
      </c>
      <c r="F16" s="33" t="s">
        <v>32</v>
      </c>
      <c r="G16" s="33" t="s">
        <v>33</v>
      </c>
      <c r="H16" s="33" t="s">
        <v>34</v>
      </c>
      <c r="I16" s="34" t="s">
        <v>37</v>
      </c>
      <c r="J16" s="35" t="s">
        <v>38</v>
      </c>
      <c r="K16" s="1"/>
      <c r="L16" s="17"/>
    </row>
    <row r="17" ht="42.75" customHeight="1">
      <c r="A17" s="1"/>
      <c r="B17" s="36">
        <v>0.0</v>
      </c>
      <c r="C17" s="37">
        <f>IF(B17="","",$B$14)</f>
        <v>0.4583333333</v>
      </c>
      <c r="D17" s="37">
        <f t="shared" ref="D17:D26" si="2">IF(B17="","",C17+(B17/1440))</f>
        <v>0.4583333333</v>
      </c>
      <c r="E17" s="38" t="s">
        <v>161</v>
      </c>
      <c r="F17" s="39"/>
      <c r="G17" s="39"/>
      <c r="H17" s="39"/>
      <c r="I17" s="38"/>
      <c r="J17" s="101"/>
      <c r="K17" s="1"/>
      <c r="L17" s="17"/>
    </row>
    <row r="18">
      <c r="A18" s="1"/>
      <c r="B18" s="64">
        <v>55.0</v>
      </c>
      <c r="C18" s="50">
        <f t="shared" ref="C18:C26" si="3">IF(B18="","",D17)</f>
        <v>0.4583333333</v>
      </c>
      <c r="D18" s="50">
        <f t="shared" si="2"/>
        <v>0.4965277778</v>
      </c>
      <c r="E18" s="51"/>
      <c r="F18" s="52" t="s">
        <v>162</v>
      </c>
      <c r="G18" s="112" t="s">
        <v>163</v>
      </c>
      <c r="H18" s="112" t="s">
        <v>164</v>
      </c>
      <c r="I18" s="51" t="s">
        <v>165</v>
      </c>
      <c r="J18" s="113" t="s">
        <v>80</v>
      </c>
      <c r="K18" s="1"/>
      <c r="L18" s="17"/>
    </row>
    <row r="19">
      <c r="A19" s="1"/>
      <c r="B19" s="64">
        <v>55.0</v>
      </c>
      <c r="C19" s="50">
        <f t="shared" si="3"/>
        <v>0.4965277778</v>
      </c>
      <c r="D19" s="50">
        <f t="shared" si="2"/>
        <v>0.5347222222</v>
      </c>
      <c r="E19" s="51"/>
      <c r="F19" s="52" t="s">
        <v>166</v>
      </c>
      <c r="G19" s="112" t="s">
        <v>167</v>
      </c>
      <c r="H19" s="112" t="s">
        <v>168</v>
      </c>
      <c r="I19" s="51" t="s">
        <v>169</v>
      </c>
      <c r="J19" s="113" t="s">
        <v>80</v>
      </c>
      <c r="K19" s="1"/>
      <c r="L19" s="17"/>
    </row>
    <row r="20">
      <c r="A20" s="1"/>
      <c r="B20" s="64">
        <v>50.0</v>
      </c>
      <c r="C20" s="50">
        <f t="shared" si="3"/>
        <v>0.5347222222</v>
      </c>
      <c r="D20" s="50">
        <f t="shared" si="2"/>
        <v>0.5694444444</v>
      </c>
      <c r="E20" s="65" t="s">
        <v>170</v>
      </c>
      <c r="F20" s="52" t="s">
        <v>171</v>
      </c>
      <c r="G20" s="112" t="s">
        <v>172</v>
      </c>
      <c r="H20" s="112" t="s">
        <v>173</v>
      </c>
      <c r="I20" s="51" t="s">
        <v>174</v>
      </c>
      <c r="J20" s="113" t="s">
        <v>107</v>
      </c>
      <c r="K20" s="1"/>
      <c r="L20" s="17"/>
    </row>
    <row r="21" ht="15.75" customHeight="1">
      <c r="A21" s="1"/>
      <c r="B21" s="64">
        <v>45.0</v>
      </c>
      <c r="C21" s="50">
        <f t="shared" si="3"/>
        <v>0.5694444444</v>
      </c>
      <c r="D21" s="50">
        <f t="shared" si="2"/>
        <v>0.6006944444</v>
      </c>
      <c r="E21" s="51"/>
      <c r="F21" s="52" t="s">
        <v>175</v>
      </c>
      <c r="G21" s="112" t="s">
        <v>176</v>
      </c>
      <c r="H21" s="112" t="s">
        <v>177</v>
      </c>
      <c r="I21" s="51" t="s">
        <v>178</v>
      </c>
      <c r="J21" s="113" t="s">
        <v>107</v>
      </c>
      <c r="K21" s="1"/>
      <c r="L21" s="17"/>
    </row>
    <row r="22" ht="15.0" customHeight="1">
      <c r="A22" s="1"/>
      <c r="B22" s="71">
        <v>45.0</v>
      </c>
      <c r="C22" s="103">
        <f t="shared" si="3"/>
        <v>0.6006944444</v>
      </c>
      <c r="D22" s="103">
        <f t="shared" si="2"/>
        <v>0.6319444444</v>
      </c>
      <c r="E22" s="73" t="s">
        <v>13</v>
      </c>
      <c r="F22" s="74"/>
      <c r="G22" s="74"/>
      <c r="H22" s="74"/>
      <c r="I22" s="73"/>
      <c r="J22" s="114"/>
      <c r="K22" s="1"/>
      <c r="L22" s="17"/>
    </row>
    <row r="23" ht="42.75" customHeight="1">
      <c r="A23" s="1"/>
      <c r="B23" s="36">
        <v>0.0</v>
      </c>
      <c r="C23" s="37">
        <f t="shared" si="3"/>
        <v>0.6319444444</v>
      </c>
      <c r="D23" s="37">
        <f t="shared" si="2"/>
        <v>0.6319444444</v>
      </c>
      <c r="E23" s="38" t="s">
        <v>161</v>
      </c>
      <c r="F23" s="39"/>
      <c r="G23" s="39"/>
      <c r="H23" s="39"/>
      <c r="I23" s="38"/>
      <c r="J23" s="101"/>
      <c r="K23" s="1"/>
      <c r="L23" s="17"/>
    </row>
    <row r="24" ht="15.75" customHeight="1">
      <c r="A24" s="1"/>
      <c r="B24" s="64">
        <v>55.0</v>
      </c>
      <c r="C24" s="50">
        <f t="shared" si="3"/>
        <v>0.6319444444</v>
      </c>
      <c r="D24" s="50">
        <f t="shared" si="2"/>
        <v>0.6701388889</v>
      </c>
      <c r="E24" s="51"/>
      <c r="F24" s="52" t="s">
        <v>179</v>
      </c>
      <c r="G24" s="112" t="s">
        <v>30</v>
      </c>
      <c r="H24" s="112" t="s">
        <v>168</v>
      </c>
      <c r="I24" s="51" t="s">
        <v>180</v>
      </c>
      <c r="J24" s="113" t="s">
        <v>107</v>
      </c>
      <c r="K24" s="1"/>
      <c r="L24" s="17"/>
    </row>
    <row r="25" ht="15.75" customHeight="1">
      <c r="A25" s="1"/>
      <c r="B25" s="104">
        <v>55.0</v>
      </c>
      <c r="C25" s="105">
        <f t="shared" si="3"/>
        <v>0.6701388889</v>
      </c>
      <c r="D25" s="105">
        <f t="shared" si="2"/>
        <v>0.7083333333</v>
      </c>
      <c r="E25" s="67"/>
      <c r="F25" s="68" t="s">
        <v>181</v>
      </c>
      <c r="G25" s="115" t="s">
        <v>182</v>
      </c>
      <c r="H25" s="115" t="s">
        <v>177</v>
      </c>
      <c r="I25" s="67" t="s">
        <v>183</v>
      </c>
      <c r="J25" s="116" t="s">
        <v>47</v>
      </c>
      <c r="K25" s="1"/>
      <c r="L25" s="17"/>
    </row>
    <row r="26" ht="15.0" customHeight="1">
      <c r="A26" s="1"/>
      <c r="B26" s="85">
        <v>0.0</v>
      </c>
      <c r="C26" s="86">
        <f t="shared" si="3"/>
        <v>0.7083333333</v>
      </c>
      <c r="D26" s="86">
        <f t="shared" si="2"/>
        <v>0.7083333333</v>
      </c>
      <c r="E26" s="87" t="s">
        <v>18</v>
      </c>
      <c r="F26" s="88"/>
      <c r="G26" s="88"/>
      <c r="H26" s="88"/>
      <c r="I26" s="89"/>
      <c r="J26" s="90"/>
      <c r="K26" s="1"/>
      <c r="L26" s="17"/>
    </row>
    <row r="27" ht="15.0" customHeight="1">
      <c r="A27" s="1"/>
      <c r="B27" s="91" t="s">
        <v>18</v>
      </c>
      <c r="C27" s="92"/>
      <c r="D27" s="92"/>
      <c r="E27" s="93" t="s">
        <v>18</v>
      </c>
      <c r="F27" s="92"/>
      <c r="G27" s="92"/>
      <c r="H27" s="92" t="s">
        <v>18</v>
      </c>
      <c r="I27" s="93" t="s">
        <v>18</v>
      </c>
      <c r="J27" s="94"/>
      <c r="K27" s="1"/>
      <c r="L27" s="17"/>
    </row>
    <row r="28" ht="7.5" customHeight="1">
      <c r="A28" s="1"/>
      <c r="B28" s="1"/>
      <c r="C28" s="1"/>
      <c r="D28" s="1"/>
      <c r="E28" s="1"/>
      <c r="F28" s="1"/>
      <c r="G28" s="1"/>
      <c r="H28" s="1"/>
      <c r="I28" s="1"/>
      <c r="J28" s="1"/>
      <c r="K28" s="1"/>
      <c r="L28" s="1"/>
    </row>
  </sheetData>
  <mergeCells count="28">
    <mergeCell ref="B2:C2"/>
    <mergeCell ref="D2:J2"/>
    <mergeCell ref="B3:E3"/>
    <mergeCell ref="F3:H3"/>
    <mergeCell ref="I3:K3"/>
    <mergeCell ref="F4:H4"/>
    <mergeCell ref="I4:K4"/>
    <mergeCell ref="I6:K6"/>
    <mergeCell ref="I7:K7"/>
    <mergeCell ref="B4:E4"/>
    <mergeCell ref="B5:E5"/>
    <mergeCell ref="F5:H5"/>
    <mergeCell ref="I5:K5"/>
    <mergeCell ref="B6:E6"/>
    <mergeCell ref="F6:H6"/>
    <mergeCell ref="B7:E7"/>
    <mergeCell ref="F10:H10"/>
    <mergeCell ref="E11:J11"/>
    <mergeCell ref="E12:J12"/>
    <mergeCell ref="E13:J13"/>
    <mergeCell ref="E14:J14"/>
    <mergeCell ref="B8:E8"/>
    <mergeCell ref="F8:H8"/>
    <mergeCell ref="I8:K8"/>
    <mergeCell ref="B9:E9"/>
    <mergeCell ref="I9:K9"/>
    <mergeCell ref="B10:E10"/>
    <mergeCell ref="I10:K10"/>
  </mergeCells>
  <printOptions horizontalCentered="1"/>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7" t="s">
        <v>184</v>
      </c>
    </row>
    <row r="2">
      <c r="A2" s="117" t="s">
        <v>185</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2026-06-16T21:39:54Z</dcterms:created>
  <dc:creator>openpyxl</dc:creator>
</cp:coreProperties>
</file>